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ga38hir\git\github\sedos_upload\structures\"/>
    </mc:Choice>
  </mc:AlternateContent>
  <xr:revisionPtr revIDLastSave="0" documentId="13_ncr:1_{84074529-2E36-4D0E-A47B-1A733891E4F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cess_Set" sheetId="1" r:id="rId1"/>
    <sheet name="Helper_Se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469" i="1" l="1"/>
  <c r="F469" i="1" s="1"/>
  <c r="G469" i="1" s="1"/>
  <c r="E468" i="1"/>
  <c r="F468" i="1" s="1"/>
  <c r="G468" i="1" s="1"/>
  <c r="E467" i="1"/>
  <c r="F467" i="1" s="1"/>
  <c r="G467" i="1" s="1"/>
  <c r="E466" i="1"/>
  <c r="F466" i="1" s="1"/>
  <c r="G466" i="1" s="1"/>
  <c r="E465" i="1"/>
  <c r="F465" i="1" s="1"/>
  <c r="G465" i="1" s="1"/>
  <c r="E464" i="1"/>
  <c r="F464" i="1" s="1"/>
  <c r="G464" i="1" s="1"/>
  <c r="E463" i="1"/>
  <c r="F463" i="1" s="1"/>
  <c r="G463" i="1" s="1"/>
  <c r="E462" i="1"/>
  <c r="F462" i="1" s="1"/>
  <c r="G462" i="1" s="1"/>
  <c r="E461" i="1"/>
  <c r="F461" i="1" s="1"/>
  <c r="G461" i="1" s="1"/>
  <c r="E460" i="1"/>
  <c r="F460" i="1" s="1"/>
  <c r="G460" i="1" s="1"/>
  <c r="E459" i="1"/>
  <c r="F459" i="1" s="1"/>
  <c r="G459" i="1" s="1"/>
  <c r="E458" i="1"/>
  <c r="F458" i="1" s="1"/>
  <c r="G458" i="1" s="1"/>
  <c r="E457" i="1"/>
  <c r="F457" i="1" s="1"/>
  <c r="G457" i="1" s="1"/>
  <c r="E456" i="1"/>
  <c r="F456" i="1" s="1"/>
  <c r="G456" i="1" s="1"/>
  <c r="E455" i="1"/>
  <c r="F455" i="1" s="1"/>
  <c r="G455" i="1" s="1"/>
  <c r="E454" i="1"/>
  <c r="F454" i="1" s="1"/>
  <c r="G454" i="1" s="1"/>
  <c r="E453" i="1"/>
  <c r="F453" i="1" s="1"/>
  <c r="G453" i="1" s="1"/>
  <c r="E452" i="1"/>
  <c r="F452" i="1" s="1"/>
  <c r="G452" i="1" s="1"/>
  <c r="E451" i="1"/>
  <c r="F451" i="1" s="1"/>
  <c r="G451" i="1" s="1"/>
  <c r="E450" i="1"/>
  <c r="F450" i="1" s="1"/>
  <c r="G450" i="1" s="1"/>
  <c r="E449" i="1"/>
  <c r="F449" i="1" s="1"/>
  <c r="G449" i="1" s="1"/>
  <c r="E448" i="1"/>
  <c r="F448" i="1" s="1"/>
  <c r="G448" i="1" s="1"/>
  <c r="E447" i="1"/>
  <c r="F447" i="1" s="1"/>
  <c r="G447" i="1" s="1"/>
  <c r="E446" i="1"/>
  <c r="F446" i="1" s="1"/>
  <c r="G446" i="1" s="1"/>
  <c r="E445" i="1"/>
  <c r="F445" i="1" s="1"/>
  <c r="G445" i="1" s="1"/>
  <c r="E444" i="1"/>
  <c r="F444" i="1" s="1"/>
  <c r="G444" i="1" s="1"/>
  <c r="E443" i="1"/>
  <c r="F443" i="1" s="1"/>
  <c r="G443" i="1" s="1"/>
  <c r="E442" i="1"/>
  <c r="F442" i="1" s="1"/>
  <c r="G442" i="1" s="1"/>
  <c r="E441" i="1"/>
  <c r="F441" i="1" s="1"/>
  <c r="G441" i="1" s="1"/>
  <c r="E440" i="1"/>
  <c r="F440" i="1" s="1"/>
  <c r="G440" i="1" s="1"/>
  <c r="E439" i="1"/>
  <c r="F439" i="1" s="1"/>
  <c r="G439" i="1" s="1"/>
  <c r="E438" i="1"/>
  <c r="F438" i="1" s="1"/>
  <c r="G438" i="1" s="1"/>
  <c r="F437" i="1"/>
  <c r="G437" i="1" s="1"/>
  <c r="E437" i="1"/>
  <c r="E436" i="1"/>
  <c r="F436" i="1" s="1"/>
  <c r="G436" i="1" s="1"/>
  <c r="E435" i="1"/>
  <c r="F435" i="1" s="1"/>
  <c r="G435" i="1" s="1"/>
  <c r="E434" i="1"/>
  <c r="F434" i="1" s="1"/>
  <c r="G434" i="1" s="1"/>
  <c r="E433" i="1"/>
  <c r="F433" i="1" s="1"/>
  <c r="G433" i="1" s="1"/>
  <c r="E432" i="1"/>
  <c r="F432" i="1" s="1"/>
  <c r="G432" i="1" s="1"/>
  <c r="E431" i="1"/>
  <c r="F431" i="1" s="1"/>
  <c r="G431" i="1" s="1"/>
  <c r="E430" i="1"/>
  <c r="F430" i="1" s="1"/>
  <c r="G430" i="1" s="1"/>
  <c r="E429" i="1"/>
  <c r="F429" i="1" s="1"/>
  <c r="G429" i="1" s="1"/>
  <c r="E428" i="1"/>
  <c r="F428" i="1" s="1"/>
  <c r="G428" i="1" s="1"/>
  <c r="E427" i="1"/>
  <c r="F427" i="1" s="1"/>
  <c r="G427" i="1" s="1"/>
  <c r="E426" i="1"/>
  <c r="F426" i="1" s="1"/>
  <c r="G426" i="1" s="1"/>
  <c r="E425" i="1"/>
  <c r="F425" i="1" s="1"/>
  <c r="G425" i="1" s="1"/>
  <c r="E424" i="1"/>
  <c r="F424" i="1" s="1"/>
  <c r="G424" i="1" s="1"/>
  <c r="E423" i="1"/>
  <c r="F423" i="1" s="1"/>
  <c r="G423" i="1" s="1"/>
  <c r="E422" i="1"/>
  <c r="F422" i="1" s="1"/>
  <c r="G422" i="1" s="1"/>
  <c r="F421" i="1"/>
  <c r="G421" i="1" s="1"/>
  <c r="E421" i="1"/>
  <c r="E420" i="1"/>
  <c r="F420" i="1" s="1"/>
  <c r="G420" i="1" s="1"/>
  <c r="E419" i="1"/>
  <c r="F419" i="1" s="1"/>
  <c r="G419" i="1" s="1"/>
  <c r="E418" i="1"/>
  <c r="F418" i="1" s="1"/>
  <c r="G418" i="1" s="1"/>
  <c r="E417" i="1"/>
  <c r="F417" i="1" s="1"/>
  <c r="G417" i="1" s="1"/>
  <c r="E416" i="1"/>
  <c r="F416" i="1" s="1"/>
  <c r="G416" i="1" s="1"/>
  <c r="E415" i="1"/>
  <c r="F415" i="1" s="1"/>
  <c r="G415" i="1" s="1"/>
  <c r="E414" i="1"/>
  <c r="F414" i="1" s="1"/>
  <c r="G414" i="1" s="1"/>
  <c r="E413" i="1"/>
  <c r="F413" i="1" s="1"/>
  <c r="G413" i="1" s="1"/>
  <c r="E412" i="1"/>
  <c r="F412" i="1" s="1"/>
  <c r="G412" i="1" s="1"/>
  <c r="E411" i="1"/>
  <c r="F411" i="1" s="1"/>
  <c r="G411" i="1" s="1"/>
  <c r="E410" i="1"/>
  <c r="F410" i="1" s="1"/>
  <c r="G410" i="1" s="1"/>
  <c r="E409" i="1"/>
  <c r="F409" i="1" s="1"/>
  <c r="G409" i="1" s="1"/>
  <c r="E408" i="1"/>
  <c r="F408" i="1" s="1"/>
  <c r="G408" i="1" s="1"/>
  <c r="E407" i="1"/>
  <c r="F407" i="1" s="1"/>
  <c r="G407" i="1" s="1"/>
  <c r="E406" i="1"/>
  <c r="F406" i="1" s="1"/>
  <c r="G406" i="1" s="1"/>
  <c r="E405" i="1"/>
  <c r="F405" i="1" s="1"/>
  <c r="G405" i="1" s="1"/>
  <c r="E404" i="1"/>
  <c r="F404" i="1" s="1"/>
  <c r="G404" i="1" s="1"/>
  <c r="E403" i="1"/>
  <c r="F403" i="1" s="1"/>
  <c r="G403" i="1" s="1"/>
  <c r="E402" i="1"/>
  <c r="F402" i="1" s="1"/>
  <c r="G402" i="1" s="1"/>
  <c r="E401" i="1"/>
  <c r="F401" i="1" s="1"/>
  <c r="G401" i="1" s="1"/>
  <c r="E400" i="1"/>
  <c r="F400" i="1" s="1"/>
  <c r="G400" i="1" s="1"/>
  <c r="E399" i="1"/>
  <c r="F399" i="1" s="1"/>
  <c r="G399" i="1" s="1"/>
  <c r="E398" i="1"/>
  <c r="F398" i="1" s="1"/>
  <c r="G398" i="1" s="1"/>
  <c r="F397" i="1"/>
  <c r="G397" i="1" s="1"/>
  <c r="E397" i="1"/>
  <c r="E396" i="1"/>
  <c r="F396" i="1" s="1"/>
  <c r="G396" i="1" s="1"/>
  <c r="E395" i="1"/>
  <c r="F395" i="1" s="1"/>
  <c r="G395" i="1" s="1"/>
  <c r="E394" i="1"/>
  <c r="F394" i="1" s="1"/>
  <c r="G394" i="1" s="1"/>
  <c r="E393" i="1"/>
  <c r="F393" i="1" s="1"/>
  <c r="G393" i="1" s="1"/>
  <c r="E392" i="1"/>
  <c r="F392" i="1" s="1"/>
  <c r="G392" i="1" s="1"/>
  <c r="E391" i="1"/>
  <c r="F391" i="1" s="1"/>
  <c r="G391" i="1" s="1"/>
  <c r="E390" i="1"/>
  <c r="F390" i="1" s="1"/>
  <c r="G390" i="1" s="1"/>
  <c r="F389" i="1"/>
  <c r="G389" i="1" s="1"/>
  <c r="E389" i="1"/>
  <c r="E388" i="1"/>
  <c r="F388" i="1" s="1"/>
  <c r="G388" i="1" s="1"/>
  <c r="E387" i="1"/>
  <c r="F387" i="1" s="1"/>
  <c r="G387" i="1" s="1"/>
  <c r="E386" i="1"/>
  <c r="F386" i="1" s="1"/>
  <c r="G386" i="1" s="1"/>
  <c r="E385" i="1"/>
  <c r="F385" i="1" s="1"/>
  <c r="G385" i="1" s="1"/>
  <c r="E384" i="1"/>
  <c r="F384" i="1" s="1"/>
  <c r="G384" i="1" s="1"/>
  <c r="E383" i="1"/>
  <c r="F383" i="1" s="1"/>
  <c r="G383" i="1" s="1"/>
  <c r="E382" i="1"/>
  <c r="F382" i="1" s="1"/>
  <c r="G382" i="1" s="1"/>
  <c r="E381" i="1"/>
  <c r="F381" i="1" s="1"/>
  <c r="G381" i="1" s="1"/>
  <c r="E380" i="1"/>
  <c r="F380" i="1" s="1"/>
  <c r="G380" i="1" s="1"/>
  <c r="E379" i="1"/>
  <c r="F379" i="1" s="1"/>
  <c r="G379" i="1" s="1"/>
  <c r="E378" i="1"/>
  <c r="F378" i="1" s="1"/>
  <c r="G378" i="1" s="1"/>
  <c r="E377" i="1"/>
  <c r="F377" i="1" s="1"/>
  <c r="G377" i="1" s="1"/>
  <c r="E376" i="1"/>
  <c r="F376" i="1" s="1"/>
  <c r="G376" i="1" s="1"/>
  <c r="E375" i="1"/>
  <c r="F375" i="1" s="1"/>
  <c r="G375" i="1" s="1"/>
  <c r="E374" i="1"/>
  <c r="F374" i="1" s="1"/>
  <c r="G374" i="1" s="1"/>
  <c r="F373" i="1"/>
  <c r="G373" i="1" s="1"/>
  <c r="E373" i="1"/>
  <c r="E372" i="1"/>
  <c r="F372" i="1" s="1"/>
  <c r="G372" i="1" s="1"/>
  <c r="E371" i="1"/>
  <c r="F371" i="1" s="1"/>
  <c r="G371" i="1" s="1"/>
  <c r="E370" i="1"/>
  <c r="F370" i="1" s="1"/>
  <c r="G370" i="1" s="1"/>
  <c r="E369" i="1"/>
  <c r="F369" i="1" s="1"/>
  <c r="G369" i="1" s="1"/>
  <c r="E368" i="1"/>
  <c r="F368" i="1" s="1"/>
  <c r="G368" i="1" s="1"/>
  <c r="E367" i="1"/>
  <c r="F367" i="1" s="1"/>
  <c r="G367" i="1" s="1"/>
  <c r="E366" i="1"/>
  <c r="F366" i="1" s="1"/>
  <c r="G366" i="1" s="1"/>
  <c r="F365" i="1"/>
  <c r="G365" i="1" s="1"/>
  <c r="E365" i="1"/>
  <c r="E364" i="1"/>
  <c r="F364" i="1" s="1"/>
  <c r="G364" i="1" s="1"/>
  <c r="F363" i="1"/>
  <c r="G363" i="1" s="1"/>
  <c r="E363" i="1"/>
  <c r="E362" i="1"/>
  <c r="F362" i="1" s="1"/>
  <c r="G362" i="1" s="1"/>
  <c r="E361" i="1"/>
  <c r="F361" i="1" s="1"/>
  <c r="G361" i="1" s="1"/>
  <c r="E360" i="1"/>
  <c r="F360" i="1" s="1"/>
  <c r="G360" i="1" s="1"/>
  <c r="E359" i="1"/>
  <c r="F359" i="1" s="1"/>
  <c r="G359" i="1" s="1"/>
  <c r="E358" i="1"/>
  <c r="F358" i="1" s="1"/>
  <c r="G358" i="1" s="1"/>
  <c r="E357" i="1"/>
  <c r="F357" i="1" s="1"/>
  <c r="G357" i="1" s="1"/>
  <c r="E356" i="1"/>
  <c r="F356" i="1" s="1"/>
  <c r="G356" i="1" s="1"/>
  <c r="E355" i="1"/>
  <c r="F355" i="1" s="1"/>
  <c r="G355" i="1" s="1"/>
  <c r="E354" i="1"/>
  <c r="F354" i="1" s="1"/>
  <c r="G354" i="1" s="1"/>
  <c r="E353" i="1"/>
  <c r="F353" i="1" s="1"/>
  <c r="G353" i="1" s="1"/>
  <c r="E352" i="1"/>
  <c r="F352" i="1" s="1"/>
  <c r="G352" i="1" s="1"/>
  <c r="E351" i="1"/>
  <c r="F351" i="1" s="1"/>
  <c r="G351" i="1" s="1"/>
  <c r="E350" i="1"/>
  <c r="F350" i="1" s="1"/>
  <c r="G350" i="1" s="1"/>
  <c r="F349" i="1"/>
  <c r="G349" i="1" s="1"/>
  <c r="E349" i="1"/>
  <c r="E348" i="1"/>
  <c r="F348" i="1" s="1"/>
  <c r="G348" i="1" s="1"/>
  <c r="E347" i="1"/>
  <c r="F347" i="1" s="1"/>
  <c r="G347" i="1" s="1"/>
  <c r="E346" i="1"/>
  <c r="F346" i="1" s="1"/>
  <c r="G346" i="1" s="1"/>
  <c r="E345" i="1"/>
  <c r="F345" i="1" s="1"/>
  <c r="G345" i="1" s="1"/>
  <c r="E344" i="1"/>
  <c r="F344" i="1" s="1"/>
  <c r="G344" i="1" s="1"/>
  <c r="E343" i="1"/>
  <c r="F343" i="1" s="1"/>
  <c r="G343" i="1" s="1"/>
  <c r="E342" i="1"/>
  <c r="F342" i="1" s="1"/>
  <c r="G342" i="1" s="1"/>
  <c r="E341" i="1"/>
  <c r="F341" i="1" s="1"/>
  <c r="G341" i="1" s="1"/>
  <c r="E340" i="1"/>
  <c r="F340" i="1" s="1"/>
  <c r="G340" i="1" s="1"/>
  <c r="E339" i="1"/>
  <c r="F339" i="1" s="1"/>
  <c r="G339" i="1" s="1"/>
  <c r="F338" i="1"/>
  <c r="G338" i="1" s="1"/>
  <c r="E338" i="1"/>
  <c r="E337" i="1"/>
  <c r="F337" i="1" s="1"/>
  <c r="G337" i="1" s="1"/>
  <c r="E336" i="1"/>
  <c r="F336" i="1" s="1"/>
  <c r="G336" i="1" s="1"/>
  <c r="E335" i="1"/>
  <c r="F335" i="1" s="1"/>
  <c r="G335" i="1" s="1"/>
  <c r="E334" i="1"/>
  <c r="F334" i="1" s="1"/>
  <c r="G334" i="1" s="1"/>
  <c r="F333" i="1"/>
  <c r="G333" i="1" s="1"/>
  <c r="E333" i="1"/>
  <c r="F332" i="1"/>
  <c r="G332" i="1" s="1"/>
  <c r="E332" i="1"/>
  <c r="E331" i="1"/>
  <c r="F331" i="1" s="1"/>
  <c r="G331" i="1" s="1"/>
  <c r="F330" i="1"/>
  <c r="G330" i="1" s="1"/>
  <c r="E330" i="1"/>
  <c r="E329" i="1"/>
  <c r="F329" i="1" s="1"/>
  <c r="G329" i="1" s="1"/>
  <c r="E328" i="1"/>
  <c r="F328" i="1" s="1"/>
  <c r="G328" i="1" s="1"/>
  <c r="E327" i="1"/>
  <c r="F327" i="1" s="1"/>
  <c r="G327" i="1" s="1"/>
  <c r="E326" i="1"/>
  <c r="F326" i="1" s="1"/>
  <c r="G326" i="1" s="1"/>
  <c r="E325" i="1"/>
  <c r="F325" i="1" s="1"/>
  <c r="G325" i="1" s="1"/>
  <c r="E324" i="1"/>
  <c r="F324" i="1" s="1"/>
  <c r="G324" i="1" s="1"/>
  <c r="E323" i="1"/>
  <c r="F323" i="1" s="1"/>
  <c r="G323" i="1" s="1"/>
  <c r="E322" i="1"/>
  <c r="F322" i="1" s="1"/>
  <c r="G322" i="1" s="1"/>
  <c r="E321" i="1"/>
  <c r="F321" i="1" s="1"/>
  <c r="G321" i="1" s="1"/>
  <c r="E320" i="1"/>
  <c r="F320" i="1" s="1"/>
  <c r="G320" i="1" s="1"/>
  <c r="E319" i="1"/>
  <c r="F319" i="1" s="1"/>
  <c r="G319" i="1" s="1"/>
  <c r="E318" i="1"/>
  <c r="F318" i="1" s="1"/>
  <c r="G318" i="1" s="1"/>
  <c r="E317" i="1"/>
  <c r="F317" i="1" s="1"/>
  <c r="G317" i="1" s="1"/>
  <c r="E316" i="1"/>
  <c r="F316" i="1" s="1"/>
  <c r="G316" i="1" s="1"/>
  <c r="E315" i="1"/>
  <c r="F315" i="1" s="1"/>
  <c r="G315" i="1" s="1"/>
  <c r="F314" i="1"/>
  <c r="G314" i="1" s="1"/>
  <c r="E314" i="1"/>
  <c r="E313" i="1"/>
  <c r="F313" i="1" s="1"/>
  <c r="G313" i="1" s="1"/>
  <c r="E312" i="1"/>
  <c r="F312" i="1" s="1"/>
  <c r="G312" i="1" s="1"/>
  <c r="E311" i="1"/>
  <c r="F311" i="1" s="1"/>
  <c r="G311" i="1" s="1"/>
  <c r="E310" i="1"/>
  <c r="F310" i="1" s="1"/>
  <c r="G310" i="1" s="1"/>
  <c r="E309" i="1"/>
  <c r="F309" i="1" s="1"/>
  <c r="G309" i="1" s="1"/>
  <c r="E308" i="1"/>
  <c r="F308" i="1" s="1"/>
  <c r="G308" i="1" s="1"/>
  <c r="E307" i="1"/>
  <c r="F307" i="1" s="1"/>
  <c r="G307" i="1" s="1"/>
  <c r="E306" i="1"/>
  <c r="F306" i="1" s="1"/>
  <c r="G306" i="1" s="1"/>
  <c r="E305" i="1"/>
  <c r="F305" i="1" s="1"/>
  <c r="G305" i="1" s="1"/>
  <c r="E304" i="1"/>
  <c r="F304" i="1" s="1"/>
  <c r="G304" i="1" s="1"/>
  <c r="E303" i="1"/>
  <c r="F303" i="1" s="1"/>
  <c r="G303" i="1" s="1"/>
  <c r="E302" i="1"/>
  <c r="F302" i="1" s="1"/>
  <c r="G302" i="1" s="1"/>
  <c r="E301" i="1"/>
  <c r="F301" i="1" s="1"/>
  <c r="G301" i="1" s="1"/>
  <c r="F300" i="1"/>
  <c r="G300" i="1" s="1"/>
  <c r="E300" i="1"/>
  <c r="E299" i="1"/>
  <c r="F299" i="1" s="1"/>
  <c r="G299" i="1" s="1"/>
  <c r="E298" i="1"/>
  <c r="F298" i="1" s="1"/>
  <c r="G298" i="1" s="1"/>
  <c r="E297" i="1"/>
  <c r="F297" i="1" s="1"/>
  <c r="G297" i="1" s="1"/>
  <c r="E296" i="1"/>
  <c r="F296" i="1" s="1"/>
  <c r="G296" i="1" s="1"/>
  <c r="E295" i="1"/>
  <c r="F295" i="1" s="1"/>
  <c r="G295" i="1" s="1"/>
  <c r="E294" i="1"/>
  <c r="F294" i="1" s="1"/>
  <c r="G294" i="1" s="1"/>
  <c r="E293" i="1"/>
  <c r="F293" i="1" s="1"/>
  <c r="G293" i="1" s="1"/>
  <c r="E292" i="1"/>
  <c r="F292" i="1" s="1"/>
  <c r="G292" i="1" s="1"/>
  <c r="E291" i="1"/>
  <c r="F291" i="1" s="1"/>
  <c r="G291" i="1" s="1"/>
  <c r="E290" i="1"/>
  <c r="F290" i="1" s="1"/>
  <c r="G290" i="1" s="1"/>
  <c r="E289" i="1"/>
  <c r="F289" i="1" s="1"/>
  <c r="G289" i="1" s="1"/>
  <c r="E288" i="1"/>
  <c r="F288" i="1" s="1"/>
  <c r="G288" i="1" s="1"/>
  <c r="G287" i="1"/>
  <c r="E287" i="1"/>
  <c r="F287" i="1" s="1"/>
  <c r="E286" i="1"/>
  <c r="F286" i="1" s="1"/>
  <c r="G286" i="1" s="1"/>
  <c r="E285" i="1"/>
  <c r="F285" i="1" s="1"/>
  <c r="G285" i="1" s="1"/>
  <c r="E284" i="1"/>
  <c r="F284" i="1" s="1"/>
  <c r="G284" i="1" s="1"/>
  <c r="F283" i="1"/>
  <c r="G283" i="1" s="1"/>
  <c r="E283" i="1"/>
  <c r="E282" i="1"/>
  <c r="F282" i="1" s="1"/>
  <c r="G282" i="1" s="1"/>
  <c r="E281" i="1"/>
  <c r="F281" i="1" s="1"/>
  <c r="G281" i="1" s="1"/>
  <c r="E280" i="1"/>
  <c r="F280" i="1" s="1"/>
  <c r="G280" i="1" s="1"/>
  <c r="E279" i="1"/>
  <c r="F279" i="1" s="1"/>
  <c r="G279" i="1" s="1"/>
  <c r="E278" i="1"/>
  <c r="F278" i="1" s="1"/>
  <c r="G278" i="1" s="1"/>
  <c r="E277" i="1"/>
  <c r="F277" i="1" s="1"/>
  <c r="G277" i="1" s="1"/>
  <c r="F276" i="1"/>
  <c r="G276" i="1" s="1"/>
  <c r="E276" i="1"/>
  <c r="E275" i="1"/>
  <c r="F275" i="1" s="1"/>
  <c r="G275" i="1" s="1"/>
  <c r="E274" i="1"/>
  <c r="F274" i="1" s="1"/>
  <c r="G274" i="1" s="1"/>
  <c r="E273" i="1"/>
  <c r="F273" i="1" s="1"/>
  <c r="G273" i="1" s="1"/>
  <c r="E272" i="1"/>
  <c r="F272" i="1" s="1"/>
  <c r="G272" i="1" s="1"/>
  <c r="E271" i="1"/>
  <c r="F271" i="1" s="1"/>
  <c r="G271" i="1" s="1"/>
  <c r="E270" i="1"/>
  <c r="F270" i="1" s="1"/>
  <c r="G270" i="1" s="1"/>
  <c r="E269" i="1"/>
  <c r="F269" i="1" s="1"/>
  <c r="G269" i="1" s="1"/>
  <c r="E268" i="1"/>
  <c r="F268" i="1" s="1"/>
  <c r="G268" i="1" s="1"/>
  <c r="E267" i="1"/>
  <c r="F267" i="1" s="1"/>
  <c r="G267" i="1" s="1"/>
  <c r="F266" i="1"/>
  <c r="G266" i="1" s="1"/>
  <c r="E266" i="1"/>
  <c r="E265" i="1"/>
  <c r="F265" i="1" s="1"/>
  <c r="G265" i="1" s="1"/>
  <c r="E264" i="1"/>
  <c r="F264" i="1" s="1"/>
  <c r="G264" i="1" s="1"/>
  <c r="E263" i="1"/>
  <c r="F263" i="1" s="1"/>
  <c r="G263" i="1" s="1"/>
  <c r="E262" i="1"/>
  <c r="F262" i="1" s="1"/>
  <c r="G262" i="1" s="1"/>
  <c r="E261" i="1"/>
  <c r="F261" i="1" s="1"/>
  <c r="G261" i="1" s="1"/>
  <c r="E260" i="1"/>
  <c r="F260" i="1" s="1"/>
  <c r="G260" i="1" s="1"/>
  <c r="E259" i="1"/>
  <c r="F259" i="1" s="1"/>
  <c r="G259" i="1" s="1"/>
  <c r="E258" i="1"/>
  <c r="F258" i="1" s="1"/>
  <c r="G258" i="1" s="1"/>
  <c r="E257" i="1"/>
  <c r="F257" i="1" s="1"/>
  <c r="G257" i="1" s="1"/>
  <c r="E256" i="1"/>
  <c r="F256" i="1" s="1"/>
  <c r="G256" i="1" s="1"/>
  <c r="G255" i="1"/>
  <c r="E255" i="1"/>
  <c r="F255" i="1" s="1"/>
  <c r="E254" i="1"/>
  <c r="F254" i="1" s="1"/>
  <c r="G254" i="1" s="1"/>
  <c r="E253" i="1"/>
  <c r="F253" i="1" s="1"/>
  <c r="G253" i="1" s="1"/>
  <c r="E252" i="1"/>
  <c r="F252" i="1" s="1"/>
  <c r="G252" i="1" s="1"/>
  <c r="E251" i="1"/>
  <c r="F251" i="1" s="1"/>
  <c r="G251" i="1" s="1"/>
  <c r="E250" i="1"/>
  <c r="F250" i="1" s="1"/>
  <c r="G250" i="1" s="1"/>
  <c r="E249" i="1"/>
  <c r="F249" i="1" s="1"/>
  <c r="G249" i="1" s="1"/>
  <c r="E248" i="1"/>
  <c r="F248" i="1" s="1"/>
  <c r="G248" i="1" s="1"/>
  <c r="E247" i="1"/>
  <c r="F247" i="1" s="1"/>
  <c r="G247" i="1" s="1"/>
  <c r="E246" i="1"/>
  <c r="F246" i="1" s="1"/>
  <c r="G246" i="1" s="1"/>
  <c r="E245" i="1"/>
  <c r="F245" i="1" s="1"/>
  <c r="G245" i="1" s="1"/>
  <c r="F244" i="1"/>
  <c r="G244" i="1" s="1"/>
  <c r="E244" i="1"/>
  <c r="E243" i="1"/>
  <c r="F243" i="1" s="1"/>
  <c r="G243" i="1" s="1"/>
  <c r="E242" i="1"/>
  <c r="F242" i="1" s="1"/>
  <c r="G242" i="1" s="1"/>
  <c r="E241" i="1"/>
  <c r="F241" i="1" s="1"/>
  <c r="G241" i="1" s="1"/>
  <c r="E240" i="1"/>
  <c r="F240" i="1" s="1"/>
  <c r="G240" i="1" s="1"/>
  <c r="E239" i="1"/>
  <c r="F239" i="1" s="1"/>
  <c r="G239" i="1" s="1"/>
  <c r="E238" i="1"/>
  <c r="F238" i="1" s="1"/>
  <c r="G238" i="1" s="1"/>
  <c r="E237" i="1"/>
  <c r="F237" i="1" s="1"/>
  <c r="G237" i="1" s="1"/>
  <c r="E236" i="1"/>
  <c r="F236" i="1" s="1"/>
  <c r="G236" i="1" s="1"/>
  <c r="E235" i="1"/>
  <c r="F235" i="1" s="1"/>
  <c r="G235" i="1" s="1"/>
  <c r="F234" i="1"/>
  <c r="G234" i="1" s="1"/>
  <c r="E234" i="1"/>
  <c r="G233" i="1"/>
  <c r="E233" i="1"/>
  <c r="F233" i="1" s="1"/>
  <c r="E232" i="1"/>
  <c r="F232" i="1" s="1"/>
  <c r="G232" i="1" s="1"/>
  <c r="E231" i="1"/>
  <c r="F231" i="1" s="1"/>
  <c r="G231" i="1" s="1"/>
  <c r="E230" i="1"/>
  <c r="F230" i="1" s="1"/>
  <c r="G230" i="1" s="1"/>
  <c r="E229" i="1"/>
  <c r="F229" i="1" s="1"/>
  <c r="G229" i="1" s="1"/>
  <c r="F228" i="1"/>
  <c r="G228" i="1" s="1"/>
  <c r="E228" i="1"/>
  <c r="E227" i="1"/>
  <c r="F227" i="1" s="1"/>
  <c r="G227" i="1" s="1"/>
  <c r="E226" i="1"/>
  <c r="F226" i="1" s="1"/>
  <c r="G226" i="1" s="1"/>
  <c r="E225" i="1"/>
  <c r="F225" i="1" s="1"/>
  <c r="G225" i="1" s="1"/>
  <c r="E224" i="1"/>
  <c r="F224" i="1" s="1"/>
  <c r="G224" i="1" s="1"/>
  <c r="E223" i="1"/>
  <c r="F223" i="1" s="1"/>
  <c r="G223" i="1" s="1"/>
  <c r="E222" i="1"/>
  <c r="F222" i="1" s="1"/>
  <c r="G222" i="1" s="1"/>
  <c r="E221" i="1"/>
  <c r="F221" i="1" s="1"/>
  <c r="G221" i="1" s="1"/>
  <c r="F220" i="1"/>
  <c r="G220" i="1" s="1"/>
  <c r="E220" i="1"/>
  <c r="E219" i="1"/>
  <c r="F219" i="1" s="1"/>
  <c r="G219" i="1" s="1"/>
  <c r="E218" i="1"/>
  <c r="F218" i="1" s="1"/>
  <c r="G218" i="1" s="1"/>
  <c r="E217" i="1"/>
  <c r="F217" i="1" s="1"/>
  <c r="G217" i="1" s="1"/>
  <c r="E216" i="1"/>
  <c r="F216" i="1" s="1"/>
  <c r="G216" i="1" s="1"/>
  <c r="E215" i="1"/>
  <c r="F215" i="1" s="1"/>
  <c r="G215" i="1" s="1"/>
  <c r="E214" i="1"/>
  <c r="F214" i="1" s="1"/>
  <c r="G214" i="1" s="1"/>
  <c r="G213" i="1"/>
  <c r="E213" i="1"/>
  <c r="F213" i="1" s="1"/>
  <c r="E212" i="1"/>
  <c r="F212" i="1" s="1"/>
  <c r="G212" i="1" s="1"/>
  <c r="E211" i="1"/>
  <c r="F211" i="1" s="1"/>
  <c r="G211" i="1" s="1"/>
  <c r="E210" i="1"/>
  <c r="F210" i="1" s="1"/>
  <c r="G210" i="1" s="1"/>
  <c r="E209" i="1"/>
  <c r="F209" i="1" s="1"/>
  <c r="G209" i="1" s="1"/>
  <c r="E208" i="1"/>
  <c r="F208" i="1" s="1"/>
  <c r="G208" i="1" s="1"/>
  <c r="E207" i="1"/>
  <c r="F207" i="1" s="1"/>
  <c r="G207" i="1" s="1"/>
  <c r="E206" i="1"/>
  <c r="F206" i="1" s="1"/>
  <c r="G206" i="1" s="1"/>
  <c r="E205" i="1"/>
  <c r="F205" i="1" s="1"/>
  <c r="G205" i="1" s="1"/>
  <c r="E204" i="1"/>
  <c r="F204" i="1" s="1"/>
  <c r="G204" i="1" s="1"/>
  <c r="E203" i="1"/>
  <c r="F203" i="1" s="1"/>
  <c r="G203" i="1" s="1"/>
  <c r="E202" i="1"/>
  <c r="F202" i="1" s="1"/>
  <c r="G202" i="1" s="1"/>
  <c r="E201" i="1"/>
  <c r="F201" i="1" s="1"/>
  <c r="G201" i="1" s="1"/>
  <c r="E200" i="1"/>
  <c r="F200" i="1" s="1"/>
  <c r="G200" i="1" s="1"/>
  <c r="E199" i="1"/>
  <c r="F199" i="1" s="1"/>
  <c r="G199" i="1" s="1"/>
  <c r="E198" i="1"/>
  <c r="F198" i="1" s="1"/>
  <c r="G198" i="1" s="1"/>
  <c r="E197" i="1"/>
  <c r="F197" i="1" s="1"/>
  <c r="G197" i="1" s="1"/>
  <c r="E196" i="1"/>
  <c r="F196" i="1" s="1"/>
  <c r="G196" i="1" s="1"/>
  <c r="E195" i="1"/>
  <c r="F195" i="1" s="1"/>
  <c r="G195" i="1" s="1"/>
  <c r="E194" i="1"/>
  <c r="F194" i="1" s="1"/>
  <c r="G194" i="1" s="1"/>
  <c r="E193" i="1"/>
  <c r="F193" i="1" s="1"/>
  <c r="G193" i="1" s="1"/>
  <c r="E192" i="1"/>
  <c r="F192" i="1" s="1"/>
  <c r="G192" i="1" s="1"/>
  <c r="E191" i="1"/>
  <c r="F191" i="1" s="1"/>
  <c r="G191" i="1" s="1"/>
  <c r="E190" i="1"/>
  <c r="F190" i="1" s="1"/>
  <c r="G190" i="1" s="1"/>
  <c r="E189" i="1"/>
  <c r="F189" i="1" s="1"/>
  <c r="G189" i="1" s="1"/>
  <c r="E188" i="1"/>
  <c r="F188" i="1" s="1"/>
  <c r="G188" i="1" s="1"/>
  <c r="E187" i="1"/>
  <c r="F187" i="1" s="1"/>
  <c r="G187" i="1" s="1"/>
  <c r="F186" i="1"/>
  <c r="G186" i="1" s="1"/>
  <c r="E186" i="1"/>
  <c r="E185" i="1"/>
  <c r="F185" i="1" s="1"/>
  <c r="G185" i="1" s="1"/>
  <c r="E184" i="1"/>
  <c r="F184" i="1" s="1"/>
  <c r="G184" i="1" s="1"/>
  <c r="E183" i="1"/>
  <c r="F183" i="1" s="1"/>
  <c r="G183" i="1" s="1"/>
  <c r="E182" i="1"/>
  <c r="F182" i="1" s="1"/>
  <c r="G182" i="1" s="1"/>
  <c r="E181" i="1"/>
  <c r="F181" i="1" s="1"/>
  <c r="G181" i="1" s="1"/>
  <c r="F180" i="1"/>
  <c r="G180" i="1" s="1"/>
  <c r="E180" i="1"/>
  <c r="E179" i="1"/>
  <c r="F179" i="1" s="1"/>
  <c r="G179" i="1" s="1"/>
  <c r="E178" i="1"/>
  <c r="F178" i="1" s="1"/>
  <c r="G178" i="1" s="1"/>
  <c r="E177" i="1"/>
  <c r="F177" i="1" s="1"/>
  <c r="G177" i="1" s="1"/>
  <c r="E176" i="1"/>
  <c r="F176" i="1" s="1"/>
  <c r="G176" i="1" s="1"/>
  <c r="E175" i="1"/>
  <c r="F175" i="1" s="1"/>
  <c r="G175" i="1" s="1"/>
  <c r="E174" i="1"/>
  <c r="F174" i="1" s="1"/>
  <c r="G174" i="1" s="1"/>
  <c r="E173" i="1"/>
  <c r="F173" i="1" s="1"/>
  <c r="G173" i="1" s="1"/>
  <c r="E172" i="1"/>
  <c r="F172" i="1" s="1"/>
  <c r="G172" i="1" s="1"/>
  <c r="E171" i="1"/>
  <c r="F171" i="1" s="1"/>
  <c r="G171" i="1" s="1"/>
  <c r="F170" i="1"/>
  <c r="G170" i="1" s="1"/>
  <c r="E170" i="1"/>
  <c r="E169" i="1"/>
  <c r="F169" i="1" s="1"/>
  <c r="G169" i="1" s="1"/>
  <c r="E168" i="1"/>
  <c r="F168" i="1" s="1"/>
  <c r="G168" i="1" s="1"/>
  <c r="E167" i="1"/>
  <c r="F167" i="1" s="1"/>
  <c r="G167" i="1" s="1"/>
  <c r="E166" i="1"/>
  <c r="F166" i="1" s="1"/>
  <c r="G166" i="1" s="1"/>
  <c r="E165" i="1"/>
  <c r="F165" i="1" s="1"/>
  <c r="G165" i="1" s="1"/>
  <c r="F164" i="1"/>
  <c r="G164" i="1" s="1"/>
  <c r="E164" i="1"/>
  <c r="E163" i="1"/>
  <c r="F163" i="1" s="1"/>
  <c r="G163" i="1" s="1"/>
  <c r="F162" i="1"/>
  <c r="G162" i="1" s="1"/>
  <c r="E162" i="1"/>
  <c r="E161" i="1"/>
  <c r="F161" i="1" s="1"/>
  <c r="G161" i="1" s="1"/>
  <c r="E160" i="1"/>
  <c r="F160" i="1" s="1"/>
  <c r="G160" i="1" s="1"/>
  <c r="E159" i="1"/>
  <c r="F159" i="1" s="1"/>
  <c r="G159" i="1" s="1"/>
  <c r="E158" i="1"/>
  <c r="F158" i="1" s="1"/>
  <c r="G158" i="1" s="1"/>
  <c r="E157" i="1"/>
  <c r="F157" i="1" s="1"/>
  <c r="G157" i="1" s="1"/>
  <c r="E156" i="1"/>
  <c r="F156" i="1" s="1"/>
  <c r="G156" i="1" s="1"/>
  <c r="E155" i="1"/>
  <c r="F155" i="1" s="1"/>
  <c r="G155" i="1" s="1"/>
  <c r="E154" i="1"/>
  <c r="F154" i="1" s="1"/>
  <c r="G154" i="1" s="1"/>
  <c r="E153" i="1"/>
  <c r="F153" i="1" s="1"/>
  <c r="G153" i="1" s="1"/>
  <c r="E152" i="1"/>
  <c r="F152" i="1" s="1"/>
  <c r="G152" i="1" s="1"/>
  <c r="E151" i="1"/>
  <c r="F151" i="1" s="1"/>
  <c r="G151" i="1" s="1"/>
  <c r="E150" i="1"/>
  <c r="F150" i="1" s="1"/>
  <c r="G150" i="1" s="1"/>
  <c r="E149" i="1"/>
  <c r="F149" i="1" s="1"/>
  <c r="G149" i="1" s="1"/>
  <c r="E148" i="1"/>
  <c r="F148" i="1" s="1"/>
  <c r="G148" i="1" s="1"/>
  <c r="E147" i="1"/>
  <c r="F147" i="1" s="1"/>
  <c r="G147" i="1" s="1"/>
  <c r="E146" i="1"/>
  <c r="F146" i="1" s="1"/>
  <c r="G146" i="1" s="1"/>
  <c r="E145" i="1"/>
  <c r="F145" i="1" s="1"/>
  <c r="G145" i="1" s="1"/>
  <c r="E144" i="1"/>
  <c r="F144" i="1" s="1"/>
  <c r="G144" i="1" s="1"/>
  <c r="E143" i="1"/>
  <c r="F143" i="1" s="1"/>
  <c r="G143" i="1" s="1"/>
  <c r="E142" i="1"/>
  <c r="F142" i="1" s="1"/>
  <c r="G142" i="1" s="1"/>
  <c r="E141" i="1"/>
  <c r="F141" i="1" s="1"/>
  <c r="G141" i="1" s="1"/>
  <c r="E140" i="1"/>
  <c r="F140" i="1" s="1"/>
  <c r="G140" i="1" s="1"/>
  <c r="E139" i="1"/>
  <c r="F139" i="1" s="1"/>
  <c r="G139" i="1" s="1"/>
  <c r="E138" i="1"/>
  <c r="F138" i="1" s="1"/>
  <c r="G138" i="1" s="1"/>
  <c r="E137" i="1"/>
  <c r="F137" i="1" s="1"/>
  <c r="G137" i="1" s="1"/>
  <c r="E136" i="1"/>
  <c r="F136" i="1" s="1"/>
  <c r="G136" i="1" s="1"/>
  <c r="E135" i="1"/>
  <c r="F135" i="1" s="1"/>
  <c r="G135" i="1" s="1"/>
  <c r="E134" i="1"/>
  <c r="F134" i="1" s="1"/>
  <c r="G134" i="1" s="1"/>
  <c r="E133" i="1"/>
  <c r="F133" i="1" s="1"/>
  <c r="G133" i="1" s="1"/>
  <c r="E132" i="1"/>
  <c r="F132" i="1" s="1"/>
  <c r="G132" i="1" s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F116" i="1"/>
  <c r="G116" i="1" s="1"/>
  <c r="E116" i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F92" i="1"/>
  <c r="G92" i="1" s="1"/>
  <c r="E92" i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G85" i="1"/>
  <c r="E85" i="1"/>
  <c r="F85" i="1" s="1"/>
  <c r="E84" i="1"/>
  <c r="F84" i="1" s="1"/>
  <c r="G84" i="1" s="1"/>
  <c r="E83" i="1"/>
  <c r="F83" i="1" s="1"/>
  <c r="G83" i="1" s="1"/>
  <c r="E82" i="1"/>
  <c r="F82" i="1" s="1"/>
  <c r="G82" i="1" s="1"/>
  <c r="G81" i="1"/>
  <c r="E81" i="1"/>
  <c r="F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F74" i="1"/>
  <c r="G74" i="1" s="1"/>
  <c r="E74" i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E60" i="1"/>
  <c r="F60" i="1" s="1"/>
  <c r="G60" i="1" s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F52" i="1"/>
  <c r="G52" i="1" s="1"/>
  <c r="E52" i="1"/>
  <c r="E51" i="1"/>
  <c r="F51" i="1" s="1"/>
  <c r="G51" i="1" s="1"/>
  <c r="E50" i="1"/>
  <c r="F50" i="1" s="1"/>
  <c r="G50" i="1" s="1"/>
  <c r="E49" i="1"/>
  <c r="F49" i="1" s="1"/>
  <c r="G49" i="1" s="1"/>
  <c r="F48" i="1"/>
  <c r="G48" i="1" s="1"/>
  <c r="E48" i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G39" i="1"/>
  <c r="E39" i="1"/>
  <c r="F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G29" i="1"/>
  <c r="E29" i="1"/>
  <c r="F29" i="1" s="1"/>
  <c r="F28" i="1"/>
  <c r="G28" i="1" s="1"/>
  <c r="E28" i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F16" i="1"/>
  <c r="G16" i="1" s="1"/>
  <c r="E16" i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6" i="1"/>
  <c r="F6" i="1" s="1"/>
  <c r="G6" i="1" s="1"/>
  <c r="E5" i="1"/>
  <c r="F5" i="1" s="1"/>
  <c r="G5" i="1" s="1"/>
  <c r="E4" i="1"/>
  <c r="F4" i="1" s="1"/>
  <c r="G4" i="1" s="1"/>
  <c r="F3" i="1"/>
  <c r="G3" i="1" s="1"/>
  <c r="E3" i="1"/>
  <c r="E2" i="1"/>
  <c r="F2" i="1" s="1"/>
  <c r="G2" i="1" s="1"/>
</calcChain>
</file>

<file path=xl/sharedStrings.xml><?xml version="1.0" encoding="utf-8"?>
<sst xmlns="http://schemas.openxmlformats.org/spreadsheetml/2006/main" count="2031" uniqueCount="895">
  <si>
    <t>input</t>
  </si>
  <si>
    <t>process</t>
  </si>
  <si>
    <t>output</t>
  </si>
  <si>
    <t>sector</t>
  </si>
  <si>
    <t>category</t>
  </si>
  <si>
    <t>specifications</t>
  </si>
  <si>
    <t>group_tags</t>
  </si>
  <si>
    <t>OEMOF-component</t>
  </si>
  <si>
    <t>sec_methane</t>
  </si>
  <si>
    <t>sec_heating_oil</t>
  </si>
  <si>
    <t>sec_syngas</t>
  </si>
  <si>
    <t>sec_lng</t>
  </si>
  <si>
    <t>pri_biomass_stemwood</t>
  </si>
  <si>
    <t>sec_diesel</t>
  </si>
  <si>
    <t>pri_geoth_heat</t>
  </si>
  <si>
    <t>sec_elec</t>
  </si>
  <si>
    <t>pri_marine</t>
  </si>
  <si>
    <t>sec_hydrogen</t>
  </si>
  <si>
    <t>pri_hydro_energy</t>
  </si>
  <si>
    <t>pri_solar_radiation</t>
  </si>
  <si>
    <t>pri_wind_energy</t>
  </si>
  <si>
    <t>sec_ammonia_orig</t>
  </si>
  <si>
    <t>sec_methanol_orig</t>
  </si>
  <si>
    <t>pri_crude_oil</t>
  </si>
  <si>
    <t>fix-conversion</t>
  </si>
  <si>
    <t>sec_syngas_sr</t>
  </si>
  <si>
    <t>Multi-conversion</t>
  </si>
  <si>
    <t>sec_cng</t>
  </si>
  <si>
    <t>sec_diesel_orig</t>
  </si>
  <si>
    <t>sec_gasoline_orig</t>
  </si>
  <si>
    <t>sec_gasoline</t>
  </si>
  <si>
    <t>sec_naphtha_orig</t>
  </si>
  <si>
    <t>sec_naphtha</t>
  </si>
  <si>
    <t>sec_kerosene_orig</t>
  </si>
  <si>
    <t>sec_kerosene</t>
  </si>
  <si>
    <t>sec_methanol</t>
  </si>
  <si>
    <t>sec_ethanol</t>
  </si>
  <si>
    <t>sec_heavy_fuel_oil</t>
  </si>
  <si>
    <t>sec_lpg</t>
  </si>
  <si>
    <t>sec_ammonia</t>
  </si>
  <si>
    <t>exo_cement</t>
  </si>
  <si>
    <t>sec_elec_ind</t>
  </si>
  <si>
    <t>exo_paper_lq</t>
  </si>
  <si>
    <t>exo_auto_pc_icev</t>
  </si>
  <si>
    <t>exo_auto_pc_phev</t>
  </si>
  <si>
    <t>exo_auto_pc_bev</t>
  </si>
  <si>
    <t>exo_auto_pc_fcev</t>
  </si>
  <si>
    <t>exo_auto_lcv_icev</t>
  </si>
  <si>
    <t>exo_auto_lcv_bev</t>
  </si>
  <si>
    <t>exo_auto_lcv_fcev</t>
  </si>
  <si>
    <t>exo_auto_hcv_icev</t>
  </si>
  <si>
    <t>exo_auto_hcv_bev</t>
  </si>
  <si>
    <t>exo_auto_hcv_fcev</t>
  </si>
  <si>
    <t>exo_chemi_olefins</t>
  </si>
  <si>
    <t>exo_chemi_btx</t>
  </si>
  <si>
    <t> </t>
  </si>
  <si>
    <t>exo_chemi_cl2</t>
  </si>
  <si>
    <t>exo_chemi_methanol</t>
  </si>
  <si>
    <t>iip_auto_space_heat</t>
  </si>
  <si>
    <t>iip_chemi_meoh_h2</t>
  </si>
  <si>
    <t>iip_chemi_nh3_h2</t>
  </si>
  <si>
    <t>iip_chemi_methanol</t>
  </si>
  <si>
    <t>iip_chemi_nh3</t>
  </si>
  <si>
    <t>iip_steel_coke_oven_gas</t>
  </si>
  <si>
    <t>iip_chemi_steam</t>
  </si>
  <si>
    <t>iip_black_liquor</t>
  </si>
  <si>
    <t>iip_heat_proc</t>
  </si>
  <si>
    <t>exo_hh_space_heat</t>
  </si>
  <si>
    <t>exo_hh_hot_water</t>
  </si>
  <si>
    <t>exo_hh_space_cooling</t>
  </si>
  <si>
    <t>exo_cts_space_heat</t>
  </si>
  <si>
    <t>exo_cts_hot_water</t>
  </si>
  <si>
    <t>exo_cts_space_cooling</t>
  </si>
  <si>
    <t>exo_cts_proc_cooling</t>
  </si>
  <si>
    <t>exo_cts_t1e_space_heat</t>
  </si>
  <si>
    <t>exo_cts_t1e_hot_water</t>
  </si>
  <si>
    <t>exo_cts_t1e_space_cooling</t>
  </si>
  <si>
    <t>exo_cts_t1n_hot_water</t>
  </si>
  <si>
    <t>exo_cts_t1n_space_cooling</t>
  </si>
  <si>
    <t>exo_cts_t2e_space_heat</t>
  </si>
  <si>
    <t>exo_cts_t2e_hot_water</t>
  </si>
  <si>
    <t>exo_cts_t2e_space_cooling</t>
  </si>
  <si>
    <t>exo_cts_t2n_space_heat</t>
  </si>
  <si>
    <t>exo_cts_t2n_hot_water</t>
  </si>
  <si>
    <t>exo_cts_t2n_space_cooling</t>
  </si>
  <si>
    <t>exo_hh_re1_space_heat</t>
  </si>
  <si>
    <t>exo_hh_re1_hot_water</t>
  </si>
  <si>
    <t>exo_hh_re1_space_cooling</t>
  </si>
  <si>
    <t>exo_hh_re2_space_heat</t>
  </si>
  <si>
    <t>exo_hh_re2_hot_water</t>
  </si>
  <si>
    <t>exo_hh_re2_space_cooling</t>
  </si>
  <si>
    <t>exo_hh_re3_space_heat</t>
  </si>
  <si>
    <t>exo_hh_re3_hot_water</t>
  </si>
  <si>
    <t>exo_hh_re3_space_cooling</t>
  </si>
  <si>
    <t>exo_hh_rn1_space_heat</t>
  </si>
  <si>
    <t>exo_hh_rn1_hot_water</t>
  </si>
  <si>
    <t>exo_hh_rn1_space_cooling</t>
  </si>
  <si>
    <t>exo_hh_ue1_space_heat</t>
  </si>
  <si>
    <t>exo_hh_ue1_hot_water</t>
  </si>
  <si>
    <t>exo_hh_ue1_space_cooling</t>
  </si>
  <si>
    <t>exo_hh_ue2_space_heat</t>
  </si>
  <si>
    <t>exo_hh_ue2_hot_water</t>
  </si>
  <si>
    <t>exo_hh_ue2_space_cooling</t>
  </si>
  <si>
    <t>exo_hh_ue3_space_heat</t>
  </si>
  <si>
    <t>exo_hh_ue3_hot_water</t>
  </si>
  <si>
    <t>exo_hh_ue3_space_cooling</t>
  </si>
  <si>
    <t>exo_hh_un1_space_heat</t>
  </si>
  <si>
    <t>exo_hh_un1_hot_water</t>
  </si>
  <si>
    <t>exo_hh_un1_space_cooling</t>
  </si>
  <si>
    <t>exo_hh_me1_space_heat</t>
  </si>
  <si>
    <t>exo_hh_me1_hot_water</t>
  </si>
  <si>
    <t>exo_hh_me1_space_cooling</t>
  </si>
  <si>
    <t>exo_hh_me2_space_heat</t>
  </si>
  <si>
    <t>exo_hh_me2_hot_water</t>
  </si>
  <si>
    <t>exo_hh_me2_space_cooling</t>
  </si>
  <si>
    <t>exo_hh_me3_space_heat</t>
  </si>
  <si>
    <t>exo_hh_me3_hot_water</t>
  </si>
  <si>
    <t>exo_hh_me3_space_cooling</t>
  </si>
  <si>
    <t>exo_hh_mn1_space_heat</t>
  </si>
  <si>
    <t>exo_hh_mn1_hot_water</t>
  </si>
  <si>
    <t>exo_hh_mn1_space_cooling</t>
  </si>
  <si>
    <t>sec_saving</t>
  </si>
  <si>
    <t>EV-flex</t>
  </si>
  <si>
    <t>tra_air_fcev_pass_natio_hydrogen_0</t>
  </si>
  <si>
    <t>exo_air_natio_pkm</t>
  </si>
  <si>
    <t>tra_air_fcev_pass_europ_hydrogen_0</t>
  </si>
  <si>
    <t>exo_air_europ_pkm</t>
  </si>
  <si>
    <t>tra_air_ice_pass_natio_kerosene_0</t>
  </si>
  <si>
    <t>exo_air_natio_pkm,emi_co2_f_tra,emi_ch4_f_tra,emi_n2o_f_tra</t>
  </si>
  <si>
    <t>tra_air_ice_pass_europ_kerosene_0</t>
  </si>
  <si>
    <t>exo_air_europ_pkm,emi_co2_f_tra,emi_ch4_f_tra,emi_n2o_f_tra</t>
  </si>
  <si>
    <t>tra_air_ice_pass_inter_kerosene_0</t>
  </si>
  <si>
    <t>exo_air_inter_pkm,emi_co2_f_tra,emi_ch4_f_tra,emi_n2o_f_tra</t>
  </si>
  <si>
    <t>sec_elec,sec_kerosene</t>
  </si>
  <si>
    <t>tra_air_hyb_pass_natio_kerosene_0</t>
  </si>
  <si>
    <t>tra_air_hyb_pass_europ_kerosene_0</t>
  </si>
  <si>
    <t>tra_air_ice_pass_natio_hydrogen_0</t>
  </si>
  <si>
    <t>tra_air_ice_pass_europ_hydrogen_0</t>
  </si>
  <si>
    <t>tra_rail_ice_pass_short_diesel_0</t>
  </si>
  <si>
    <t>exo_rail_short_pkm,emi_co2_f_tra,emi_ch4_f_tra,emi_n2o_f_tra</t>
  </si>
  <si>
    <t>tra_rail_ice_pass_long_diesel_0</t>
  </si>
  <si>
    <t>exo_rail_long_pkm,emi_co2_f_tra,emi_ch4_f_tra,emi_n2o_f_tra</t>
  </si>
  <si>
    <t>tra_rail_ice_pass_short_ethanol_0</t>
  </si>
  <si>
    <t>exo_rail_short_pkm,emi_co2_f_tra</t>
  </si>
  <si>
    <t>tra_rail_ice_pass_long_ethanol_0</t>
  </si>
  <si>
    <t>exo_rail_long_pkm,emi_co2_f_tra</t>
  </si>
  <si>
    <t>tra_rail_fcev_pass_short_hydrogen_0</t>
  </si>
  <si>
    <t>exo_rail_short_pkm</t>
  </si>
  <si>
    <t>tra_rail_fcev_pass_long_hydrogen_0</t>
  </si>
  <si>
    <t>exo_rail_long_pkm</t>
  </si>
  <si>
    <t>sec_elec,sec_hydrogen</t>
  </si>
  <si>
    <t>tra_rail_hyb_pass_short_hydrogen_0</t>
  </si>
  <si>
    <t>sec_elec,sec_diesel</t>
  </si>
  <si>
    <t>tra_rail_hyb_pass_short_diesel_0</t>
  </si>
  <si>
    <t>tra_rail_oev_pass_short_0</t>
  </si>
  <si>
    <t>tra_rail_oev_pass_long_0</t>
  </si>
  <si>
    <t>tra_rail_bemu_pass_short_0</t>
  </si>
  <si>
    <t>tra_rail_bemu_pass_long_0</t>
  </si>
  <si>
    <t>tra_rail_oev_frei_long_0</t>
  </si>
  <si>
    <t>exo_rail_long_tkm</t>
  </si>
  <si>
    <t>tra_rail_fcev_frei_short_hydrogen_0</t>
  </si>
  <si>
    <t>exo_rail_short_tkm</t>
  </si>
  <si>
    <t>tra_rail_fcev_frei_long_hydrogen_0</t>
  </si>
  <si>
    <t>tra_rail_ice_frei_short_diesel_0</t>
  </si>
  <si>
    <t>exo_rail_short_tkm,emi_co2_f_tra,emi_ch4_f_tra,emi_n2o_f_tra</t>
  </si>
  <si>
    <t>tra_rail_ice_frei_long_diesel_0</t>
  </si>
  <si>
    <t>exo_rail_long_tkm,emi_co2_f_tra,emi_ch4_f_tra,emi_n2o_f_tra</t>
  </si>
  <si>
    <t>tra_rail_ice_frei_short_ammonia_0</t>
  </si>
  <si>
    <t>exo_rail_short_tkm,emi_co2_f_tra</t>
  </si>
  <si>
    <t>tra_rail_ice_frei_short_ethanol_0</t>
  </si>
  <si>
    <t>tra_rail_ice_frei_long_ethanol_0</t>
  </si>
  <si>
    <t>exo_rail_long_tkm,emi_co2_f_tra</t>
  </si>
  <si>
    <t>tra_rail_ice_frei_long_ammonia_0</t>
  </si>
  <si>
    <t>tra_water_fcev_frei_hydrogen_0</t>
  </si>
  <si>
    <t>exo_water_tkm</t>
  </si>
  <si>
    <t>tra_water_ice_frei_lng_0</t>
  </si>
  <si>
    <t>exo_water_tkm,emi_co2_f_tra,emi_ch4_f_tra,emi_n2o_f_tra</t>
  </si>
  <si>
    <t>tra_water_ice_frei_methanol_0</t>
  </si>
  <si>
    <t>exo_water_tkm,emi_co2_f_tra</t>
  </si>
  <si>
    <t>tra_water_ice_frei_ethanol_0</t>
  </si>
  <si>
    <t>tra_water_ice_frei_ammonia_0</t>
  </si>
  <si>
    <t>tra_water_ice_frei_diesel_0</t>
  </si>
  <si>
    <t>tra_water_ice_frei_hydrogen_0</t>
  </si>
  <si>
    <t>tra_road_bus_fcev_pass_short_hydrogen_0</t>
  </si>
  <si>
    <t>exo_road_bus_short_pkm</t>
  </si>
  <si>
    <t>tra_road_bus_fcev_pass_long_hydrogen_0</t>
  </si>
  <si>
    <t>exo_road_bus_long_pkm</t>
  </si>
  <si>
    <t>tra_road_bus_hyb_pass_short_diesel_0</t>
  </si>
  <si>
    <t>exo_road_bus_short_pkm,emi_co2_f_tra,emi_ch4_f_tra,emi_n2o_f_tra</t>
  </si>
  <si>
    <t>tra_road_bus_bev_pass_long_0</t>
  </si>
  <si>
    <t>tra_road_bus_bev_pass_short_0</t>
  </si>
  <si>
    <t>tra_road_bus_ice_pass_short_diesel_0</t>
  </si>
  <si>
    <t>tra_road_bus_ice_pass_long_diesel_0</t>
  </si>
  <si>
    <t>exo_road_bus_long_pkm,emi_co2_f_tra,emi_ch4_f_tra,emi_n2o_f_tra</t>
  </si>
  <si>
    <t>tra_road_lcar_fcev_pass_hydrogen_0</t>
  </si>
  <si>
    <t>exo_road_lcar_pkm</t>
  </si>
  <si>
    <t>sec_elec_wallbox</t>
  </si>
  <si>
    <t>tra_road_lcar_bev_pass_battery_infl_uni_0</t>
  </si>
  <si>
    <t>sec_elec_battery</t>
  </si>
  <si>
    <t>tra_road_lcar_bev_pass_battery_flex_uni_0</t>
  </si>
  <si>
    <t>tra_road_lcar_bev_pass_battery_flex_bi_0</t>
  </si>
  <si>
    <t>tra_road_lcar_bev_pass_wallbox_infl_uni_g2v_0</t>
  </si>
  <si>
    <t>tra_road_lcar_bev_pass_wallbox_flex_uni_g2v_0</t>
  </si>
  <si>
    <t>tra_road_lcar_bev_pass_wallbox_flex_bi_g2v_0</t>
  </si>
  <si>
    <t>tra_road_lcar_bev_pass_wallbox_flex_bi_v2g_0</t>
  </si>
  <si>
    <t>tra_road_lcar_bev_pass_engine_infl_uni_0</t>
  </si>
  <si>
    <t>tra_road_lcar_bev_pass_engine_flex_uni_0</t>
  </si>
  <si>
    <t>tra_road_lcar_bev_pass_engine_flex_bi_0</t>
  </si>
  <si>
    <t>sec_elec,sec_gasoline</t>
  </si>
  <si>
    <t>tra_road_lcar_hyb_pass_gasoline_0</t>
  </si>
  <si>
    <t>exo_road_lcar_pkm,emi_co2_f_tra,emi_ch4_f_tra,emi_n2o_f_tra</t>
  </si>
  <si>
    <t>tra_road_lcar_hyb_pass_diesel_0</t>
  </si>
  <si>
    <t>tra_road_lcar_ice_pass_hydrogen_0</t>
  </si>
  <si>
    <t>tra_road_lcar_ice_pass_methanol_0</t>
  </si>
  <si>
    <t>exo_road_lcar_pkm,emi_co2_f_tra</t>
  </si>
  <si>
    <t>tra_road_lcar_ice_pass_cng_0</t>
  </si>
  <si>
    <t>tra_road_lcar_ice_pass_lpg_0</t>
  </si>
  <si>
    <t>tra_road_lcar_ice_pass_gasoline_0</t>
  </si>
  <si>
    <t>tra_road_lcar_ice_pass_diesel_0</t>
  </si>
  <si>
    <t>[sec_gasoline,sec_ethanol]</t>
  </si>
  <si>
    <t>tra_road_lcar_ice_pass_flex_0</t>
  </si>
  <si>
    <t>tra_road_mcar_fcev_pass_hydrogen_0</t>
  </si>
  <si>
    <t>exo_road_mcar_pkm</t>
  </si>
  <si>
    <t>tra_road_mcar_bev_pass_battery_infl_uni_0</t>
  </si>
  <si>
    <t>tra_road_mcar_bev_pass_battery_flex_uni_0</t>
  </si>
  <si>
    <t>tra_road_mcar_bev_pass_battery_flex_bi_0</t>
  </si>
  <si>
    <t>tra_road_mcar_bev_pass_wallbox_infl_uni_g2v_0</t>
  </si>
  <si>
    <t>tra_road_mcar_bev_pass_wallbox_flex_uni_g2v_0</t>
  </si>
  <si>
    <t>tra_road_mcar_bev_pass_wallbox_flex_bi_g2v_0</t>
  </si>
  <si>
    <t>tra_road_mcar_bev_pass_wallbox_flex_bi_v2g_0</t>
  </si>
  <si>
    <t>tra_road_mcar_bev_pass_engine_infl_uni_0</t>
  </si>
  <si>
    <t>tra_road_mcar_bev_pass_engine_flex_uni_0</t>
  </si>
  <si>
    <t>tra_road_mcar_bev_pass_engine_flex_bi_0</t>
  </si>
  <si>
    <t>tra_road_mcar_hyb_pass_gasoline_0</t>
  </si>
  <si>
    <t>exo_road_mcar_pkm,emi_co2_f_tra,emi_ch4_f_tra,emi_n2o_f_tra</t>
  </si>
  <si>
    <t>tra_road_mcar_hyb_pass_diesel_0</t>
  </si>
  <si>
    <t>tra_road_mcar_ice_pass_hydrogen_0</t>
  </si>
  <si>
    <t>tra_road_mcar_ice_pass_methanol_0</t>
  </si>
  <si>
    <t>exo_road_mcar_pkm,emi_co2_f_tra</t>
  </si>
  <si>
    <t>tra_road_mcar_ice_pass_cng_0</t>
  </si>
  <si>
    <t>tra_road_mcar_ice_pass_lpg_0</t>
  </si>
  <si>
    <t>tra_road_mcar_ice_pass_gasoline_0</t>
  </si>
  <si>
    <t>tra_road_mcar_ice_pass_diesel_0</t>
  </si>
  <si>
    <t>tra_road_mcar_ice_pass_flex_0</t>
  </si>
  <si>
    <t>tra_road_hcar_fcev_pass_hydrogen_0</t>
  </si>
  <si>
    <t>exo_road_hcar_pkm</t>
  </si>
  <si>
    <t>tra_road_hcar_bev_pass_battery_infl_uni_0</t>
  </si>
  <si>
    <t>tra_road_hcar_bev_pass_battery_flex_uni_0</t>
  </si>
  <si>
    <t>tra_road_hcar_bev_pass_battery_flex_bi_0</t>
  </si>
  <si>
    <t>tra_road_hcar_bev_pass_wallbox_infl_uni_g2v_0</t>
  </si>
  <si>
    <t>tra_road_hcar_bev_pass_wallbox_flex_uni_g2v_0</t>
  </si>
  <si>
    <t>tra_road_hcar_bev_pass_wallbox_flex_bi_g2v_0</t>
  </si>
  <si>
    <t>tra_road_hcar_bev_pass_wallbox_flex_bi_v2g_0</t>
  </si>
  <si>
    <t>tra_road_hcar_bev_pass_engine_infl_uni_0</t>
  </si>
  <si>
    <t>tra_road_hcar_bev_pass_engine_flex_uni_0</t>
  </si>
  <si>
    <t>tra_road_hcar_bev_pass_engine_flex_bi_0</t>
  </si>
  <si>
    <t>tra_road_hcar_hyb_pass_gasoline_0</t>
  </si>
  <si>
    <t>exo_road_hcar_pkm,emi_co2_f_tra,emi_ch4_f_tra,emi_n2o_f_tra</t>
  </si>
  <si>
    <t>tra_road_hcar_hyb_pass_diesel_0</t>
  </si>
  <si>
    <t>tra_road_hcar_ice_pass_hydrogen_0</t>
  </si>
  <si>
    <t>tra_road_hcar_ice_pass_methanol_0</t>
  </si>
  <si>
    <t>exo_road_hcar_pkm,emi_co2_f_tra</t>
  </si>
  <si>
    <t>tra_road_hcar_ice_pass_cng_0</t>
  </si>
  <si>
    <t>tra_road_hcar_ice_pass_lpg_0</t>
  </si>
  <si>
    <t>tra_road_hcar_ice_pass_gasoline_0</t>
  </si>
  <si>
    <t>tra_road_hcar_ice_pass_diesel_0</t>
  </si>
  <si>
    <t>tra_road_hcar_ice_pass_flex_0</t>
  </si>
  <si>
    <t>tra_road_motorc_bev_pass_0</t>
  </si>
  <si>
    <t>exo_road_motorc_pkm</t>
  </si>
  <si>
    <t>tra_road_motorc_ice_pass_gasoline_0</t>
  </si>
  <si>
    <t>exo_road_motorc_pkm,emi_co2_f_tra,emi_ch4_f_tra,emi_n2o_f_tra</t>
  </si>
  <si>
    <t>tra_road_ltruck_fcev_frei_hydrogen_0</t>
  </si>
  <si>
    <t>exo_road_ltruck_tkm</t>
  </si>
  <si>
    <t>tra_road_ltruck_bev_frei_battery_infl_uni_0</t>
  </si>
  <si>
    <t>tra_road_ltruck_bev_frei_battery_flex_uni_0</t>
  </si>
  <si>
    <t>tra_road_ltruck_bev_frei_battery_flex_bi_0</t>
  </si>
  <si>
    <t>tra_road_ltruck_bev_frei_wallbox_infl_uni_g2v_0</t>
  </si>
  <si>
    <t>tra_road_ltruck_bev_frei_wallbox_flex_uni_g2v_0</t>
  </si>
  <si>
    <t>tra_road_ltruck_bev_frei_wallbox_flex_bi_g2v_0</t>
  </si>
  <si>
    <t>tra_road_ltruck_bev_frei_wallbox_flex_bi_v2g_0</t>
  </si>
  <si>
    <t>tra_road_ltruck_bev_frei_engine_infl_uni_0</t>
  </si>
  <si>
    <t>tra_road_ltruck_bev_frei_engine_flex_uni_0</t>
  </si>
  <si>
    <t>tra_road_ltruck_bev_frei_engine_flex_bi_0</t>
  </si>
  <si>
    <t>tra_road_ltruck_hyb_frei_diesel_0</t>
  </si>
  <si>
    <t>exo_road_ltruck_tkm,emi_co2_f_tra,emi_ch4_f_tra,emi_n2o_f_tra</t>
  </si>
  <si>
    <t>tra_road_ltruck_hyb_frei_gasoline_0</t>
  </si>
  <si>
    <t>tra_road_ltruck_ice_frei_methanol_0</t>
  </si>
  <si>
    <t>exo_road_ltruck_tkm,emi_co2_f_tra</t>
  </si>
  <si>
    <t>tra_road_ltruck_ice_frei_cng_0</t>
  </si>
  <si>
    <t>tra_road_ltruck_ice_frei_ethanol_0</t>
  </si>
  <si>
    <t>tra_road_ltruck_ice_frei_lpg_0</t>
  </si>
  <si>
    <t>tra_road_ltruck_ice_frei_hydrogen_0</t>
  </si>
  <si>
    <t>tra_road_ltruck_ice_frei_gasoline_0</t>
  </si>
  <si>
    <t>tra_road_ltruck_ice_frei_diesel_0</t>
  </si>
  <si>
    <t>tra_road_mtruck_fcev_frei_hydrogen_0</t>
  </si>
  <si>
    <t>exo_road_mtruck_tkm</t>
  </si>
  <si>
    <t>tra_road_mtruck_bev_frei_battery_infl_uni_0</t>
  </si>
  <si>
    <t>tra_road_mtruck_bev_frei_battery_flex_uni_0</t>
  </si>
  <si>
    <t>tra_road_mtruck_bev_frei_battery_flex_bi_0</t>
  </si>
  <si>
    <t>tra_road_mtruck_bev_frei_wallbox_infl_uni_g2v_0</t>
  </si>
  <si>
    <t>tra_road_mtruck_bev_frei_wallbox_flex_uni_g2v_0</t>
  </si>
  <si>
    <t>tra_road_mtruck_bev_frei_wallbox_flex_bi_g2v_0</t>
  </si>
  <si>
    <t>tra_road_mtruck_bev_frei_wallbox_flex_bi_v2g_0</t>
  </si>
  <si>
    <t>tra_road_mtruck_bev_frei_engine_infl_uni_0</t>
  </si>
  <si>
    <t>tra_road_mtruck_bev_frei_engine_flex_uni_0</t>
  </si>
  <si>
    <t>tra_road_mtruck_bev_frei_engine_flex_bi_0</t>
  </si>
  <si>
    <t>tra_road_mtruck_hyb_frei_diesel_0</t>
  </si>
  <si>
    <t>exo_road_mtruck_tkm,emi_co2_f_tra,emi_ch4_f_tra,emi_n2o_f_tra</t>
  </si>
  <si>
    <t>tra_road_mtruck_hyb_frei_gasoline_0</t>
  </si>
  <si>
    <t>tra_road_mtruck_ice_frei_methanol_0</t>
  </si>
  <si>
    <t>exo_road_mtruck_tkm,emi_co2_f_tra</t>
  </si>
  <si>
    <t>tra_road_mtruck_ice_frei_lng_0</t>
  </si>
  <si>
    <t>tra_road_mtruck_ice_frei_cng_0</t>
  </si>
  <si>
    <t>tra_road_mtruck_ice_frei_ethanol_0</t>
  </si>
  <si>
    <t>tra_road_mtruck_ice_frei_lpg_0</t>
  </si>
  <si>
    <t>tra_road_mtruck_ice_frei_hydrogen_0</t>
  </si>
  <si>
    <t>tra_road_mtruck_ice_frei_gasoline_0</t>
  </si>
  <si>
    <t>tra_road_mtruck_ice_frei_diesel_0</t>
  </si>
  <si>
    <t>tra_road_htruck_fcev_frei_hydrogen_0</t>
  </si>
  <si>
    <t>exo_road_htruck_tkm</t>
  </si>
  <si>
    <t>tra_road_htruck_bev_frei_battery_infl_uni_0</t>
  </si>
  <si>
    <t>tra_road_htruck_bev_frei_battery_flex_uni_0</t>
  </si>
  <si>
    <t>tra_road_htruck_bev_frei_battery_flex_bi_0</t>
  </si>
  <si>
    <t>tra_road_htruck_bev_frei_wallbox_infl_uni_g2v_0</t>
  </si>
  <si>
    <t>tra_road_htruck_bev_frei_wallbox_flex_uni_g2v_0</t>
  </si>
  <si>
    <t>tra_road_htruck_bev_frei_wallbox_flex_bi_g2v_0</t>
  </si>
  <si>
    <t>tra_road_htruck_bev_frei_wallbox_flex_bi_v2g_0</t>
  </si>
  <si>
    <t>tra_road_htruck_bev_frei_engine_infl_uni_0</t>
  </si>
  <si>
    <t>tra_road_htruck_bev_frei_engine_flex_uni_0</t>
  </si>
  <si>
    <t>tra_road_htruck_bev_frei_engine_flex_bi_0</t>
  </si>
  <si>
    <t>tra_road_htruck_oev_frei_0</t>
  </si>
  <si>
    <t>tra_road_htruck_ice_frei_diesel_0</t>
  </si>
  <si>
    <t>exo_road_htruck_tkm,emi_co2_f_tra,emi_ch4_f_tra,emi_n2o_f_tra</t>
  </si>
  <si>
    <t>tra_road_htruck_ice_frei_ethanol_0</t>
  </si>
  <si>
    <t>exo_road_htruck_tkm,emi_co2_f_tra</t>
  </si>
  <si>
    <t>tra_road_htruck_ice_frei_hydrogen_0</t>
  </si>
  <si>
    <t>tra_road_htruck_ice_frei_lng_0</t>
  </si>
  <si>
    <t>tra_road_htruck_ice_frei_cng_0</t>
  </si>
  <si>
    <t>tra_road_htruck_fcev_frei_ammonia_0</t>
  </si>
  <si>
    <t>tra_road_agri_ice_diesel_0</t>
  </si>
  <si>
    <t>exo_road_agri_diesel,emi_co2_f_tra,emi_ch4_f_tra,emi_n2o_f_tra</t>
  </si>
  <si>
    <t>tra_road_const_ice_diesel_0</t>
  </si>
  <si>
    <t>exo_road_const_diesel,emi_co2_f_tra,emi_ch4_f_tra,emi_n2o_f_tra</t>
  </si>
  <si>
    <t>tra_air_fcev_pass_hydrogen_0_ag</t>
  </si>
  <si>
    <t>exo_air_pkm</t>
  </si>
  <si>
    <t>tra_air_ice_pass_kerosene_0_ag</t>
  </si>
  <si>
    <t>exo_air_pkm,emi_co2_f_tra,emi_ch4_f_tra,emi_n2o_f_tra</t>
  </si>
  <si>
    <t>tra_air_ice_pass_hydrogen_0_ag</t>
  </si>
  <si>
    <t>tra_air_hyb_pass_kerosene_0_ag</t>
  </si>
  <si>
    <t>tra_rail_ice_pass_diesel_0_ag</t>
  </si>
  <si>
    <t>exo_rail_pkm,emi_co2_f_tra,emi_ch4_f_tra,emi_n2o_f_tra</t>
  </si>
  <si>
    <t>tra_rail_ice_pass_ethanol_0_ag</t>
  </si>
  <si>
    <t>exo_rail_pkm,emi_co2_f_tra</t>
  </si>
  <si>
    <t>tra_rail_fcev_pass_hydrogen_0_ag</t>
  </si>
  <si>
    <t>exo_rail_pkm</t>
  </si>
  <si>
    <t>tra_rail_oev_pass_0_ag</t>
  </si>
  <si>
    <t>tra_rail_bemu_pass_0_ag</t>
  </si>
  <si>
    <t>tra_rail_fcev_frei_hydrogen_0_ag</t>
  </si>
  <si>
    <t>exo_rail_tkm</t>
  </si>
  <si>
    <t>tra_rail_ice_frei_diesel_0_ag</t>
  </si>
  <si>
    <t>exo_rail_tkm,emi_co2_f_tra,emi_ch4_f_tra,emi_n2o_f_tra</t>
  </si>
  <si>
    <t>tra_rail_ice_frei_ammonia_0_ag</t>
  </si>
  <si>
    <t>tra_rail_ice_frei_ethanol_0_ag</t>
  </si>
  <si>
    <t>exo_rail_tkm,emi_co2_f_tra</t>
  </si>
  <si>
    <t>tra_road_bus_fcev_pass_hydrogen_0_ag</t>
  </si>
  <si>
    <t>exo_road_bus_pkm</t>
  </si>
  <si>
    <t>tra_road_bus_bev_pass_0_ag</t>
  </si>
  <si>
    <t>tra_road_bus_ice_pass_diesel_0_ag</t>
  </si>
  <si>
    <t>exo_road_bus_pkm,emi_co2_f_tra,emi_ch4_f_tra,emi_n2o_f_tra</t>
  </si>
  <si>
    <t>tra_road_car_fcev_pass_hydrogen_0_ag</t>
  </si>
  <si>
    <t>exo_road_car_pkm</t>
  </si>
  <si>
    <t>tra_road_car_bev_pass_battery_infl_uni_0_ag</t>
  </si>
  <si>
    <t>tra_road_car_bev_pass_battery_flex_uni_0_ag</t>
  </si>
  <si>
    <t>tra_road_car_bev_pass_battery_flex_bi_0_ag</t>
  </si>
  <si>
    <t>tra_road_car_bev_pass_wallbox_infl_uni_g2v_0_ag</t>
  </si>
  <si>
    <t>tra_road_car_bev_pass_wallbox_flex_uni_g2v_0_ag</t>
  </si>
  <si>
    <t>tra_road_car_bev_pass_wallbox_flex_bi_g2v_0_ag</t>
  </si>
  <si>
    <t>tra_road_car_bev_pass_wallbox_flex_bi_v2g_0_ag</t>
  </si>
  <si>
    <t>tra_road_car_bev_pass_engine_infl_uni_0_ag</t>
  </si>
  <si>
    <t>tra_road_car_bev_pass_engine_flex_uni_0_ag</t>
  </si>
  <si>
    <t>tra_road_car_bev_pass_engine_flex_bi_0_ag</t>
  </si>
  <si>
    <t>tra_road_car_hyb_pass_gasoline_0_ag</t>
  </si>
  <si>
    <t>exo_road_car_pkm,emi_co2_f_tra,emi_ch4_f_tra,emi_n2o_f_tra</t>
  </si>
  <si>
    <t>tra_road_car_hyb_pass_diesel_0_ag</t>
  </si>
  <si>
    <t>tra_road_car_ice_pass_hydrogen_0_ag</t>
  </si>
  <si>
    <t>tra_road_car_ice_pass_methanol_0_ag</t>
  </si>
  <si>
    <t>exo_road_car_pkm,emi_co2_f_tra</t>
  </si>
  <si>
    <t>tra_road_car_ice_pass_cng_0_ag</t>
  </si>
  <si>
    <t>tra_road_car_ice_pass_lpg_0_ag</t>
  </si>
  <si>
    <t>tra_road_car_ice_pass_gasoline_0_ag</t>
  </si>
  <si>
    <t>tra_road_car_ice_pass_diesel_0_ag</t>
  </si>
  <si>
    <t>tra_road_car_ice_pass_flex_0_ag</t>
  </si>
  <si>
    <t>tra_road_truck_bev_frei_battery_infl_uni_0_ag</t>
  </si>
  <si>
    <t>tra_road_truck_bev_frei_battery_flex_uni_0_ag</t>
  </si>
  <si>
    <t>tra_road_truck_bev_frei_battery_flex_bi_0_ag</t>
  </si>
  <si>
    <t>tra_road_truck_bev_frei_wallbox_infl_uni_g2v_0_ag</t>
  </si>
  <si>
    <t>tra_road_truck_bev_frei_wallbox_flex_uni_g2v_0_ag</t>
  </si>
  <si>
    <t>tra_road_truck_bev_frei_wallbox_flex_bi_g2v_0_ag</t>
  </si>
  <si>
    <t>tra_road_truck_bev_frei_wallbox_flex_bi_v2g_0_ag</t>
  </si>
  <si>
    <t>tra_road_truck_bev_frei_engine_infl_uni_0_ag</t>
  </si>
  <si>
    <t>exo_road_truck_tkm</t>
  </si>
  <si>
    <t>tra_road_truck_bev_frei_engine_flex_uni_0_ag</t>
  </si>
  <si>
    <t>tra_road_truck_bev_frei_engine_flex_bi_0_ag</t>
  </si>
  <si>
    <t>tra_road_truck_fcev_frei_hydrogen_0_ag</t>
  </si>
  <si>
    <t>sec_elec, sec_diesel</t>
  </si>
  <si>
    <t>tra_road_truck_hyb_frei_diesel_0_ag</t>
  </si>
  <si>
    <t>exo_road_truck_tkm,emi_co2_f_tra,emi_ch4_f_tra,emi_n2o_f_tra</t>
  </si>
  <si>
    <t>sec_elec, sec_gasoline</t>
  </si>
  <si>
    <t>tra_road_truck_hyb_frei_gasoline_0_ag</t>
  </si>
  <si>
    <t>tra_road_truck_ice_frei_lng_0_ag</t>
  </si>
  <si>
    <t>tra_road_truck_ice_frei_lpg_0_ag</t>
  </si>
  <si>
    <t>tra_road_truck_ice_frei_methanol_0_ag</t>
  </si>
  <si>
    <t>exo_road_truck_tkm,emi_co2_f_tra</t>
  </si>
  <si>
    <t>tra_road_truck_ice_frei_cng_0_ag</t>
  </si>
  <si>
    <t>tra_road_truck_ice_frei_ethanol_0_ag</t>
  </si>
  <si>
    <t>tra_road_truck_ice_frei_hydrogen_0_ag</t>
  </si>
  <si>
    <t>tra_road_truck_ice_frei_gasoline_0_ag</t>
  </si>
  <si>
    <t>tra_road_truck_ice_frei_diesel_0_ag</t>
  </si>
  <si>
    <t>[sec_hydrogen,sec_kerosene]</t>
  </si>
  <si>
    <t>tra_air_ice_pass_0_ag</t>
  </si>
  <si>
    <t>sec_elec,[sec_hydrogen,sec_diesel]</t>
  </si>
  <si>
    <t>tra_rail_hyb_pass_0_ag</t>
  </si>
  <si>
    <t>[sec_diesel,sec_ethanol,sec_ammonia]</t>
  </si>
  <si>
    <t>tra_rail_ice_pass_0_ag</t>
  </si>
  <si>
    <t>tra_rail_ice_frei_0_ag</t>
  </si>
  <si>
    <t>[sec_diesel,sec_ammonia, sec_lng, sec_methanol, sec_ethanol, sec_hydrogen]</t>
  </si>
  <si>
    <t>tra_water_ice_frei_0_ag</t>
  </si>
  <si>
    <t>sec_elec,[sec_diesel,sec_gasoline]</t>
  </si>
  <si>
    <t>tra_road_car_hyb_pass_0_ag</t>
  </si>
  <si>
    <t>[sec_diesel,sec_ethanol,sec_hydrogen,sec_cng,sec_lpg,sec_gasoline,sec_methanol]</t>
  </si>
  <si>
    <t>tra_road_car_ice_pass_0_ag</t>
  </si>
  <si>
    <t>tra_road_truck_ice_frei_0_ag</t>
  </si>
  <si>
    <t>tra_road_truck_hyb_frei_0_ag</t>
  </si>
  <si>
    <t>[sec_hydrogen,sec_ammonia]</t>
  </si>
  <si>
    <t>tra_road_truck_fcev_frei_0_ag</t>
  </si>
  <si>
    <t>tra_air_fcev_pass_natio_hydrogen_1</t>
  </si>
  <si>
    <t>tra_air_fcev_pass_europ_hydrogen_1</t>
  </si>
  <si>
    <t>tra_air_ice_pass_natio_kerosene_1</t>
  </si>
  <si>
    <t>tra_air_ice_pass_europ_kerosene_1</t>
  </si>
  <si>
    <t>tra_air_ice_pass_inter_kerosene_1</t>
  </si>
  <si>
    <t>tra_air_hyb_pass_natio_kerosene_1</t>
  </si>
  <si>
    <t>tra_air_hyb_pass_europ_kerosene_1</t>
  </si>
  <si>
    <t>tra_air_ice_pass_natio_hydrogen_1</t>
  </si>
  <si>
    <t>tra_air_ice_pass_europ_hydrogen_1</t>
  </si>
  <si>
    <t>tra_rail_ice_pass_short_diesel_1</t>
  </si>
  <si>
    <t>tra_rail_ice_pass_long_diesel_1</t>
  </si>
  <si>
    <t>tra_rail_ice_pass_short_ethanol_1</t>
  </si>
  <si>
    <t>tra_rail_ice_pass_long_ethanol_1</t>
  </si>
  <si>
    <t>tra_rail_fcev_pass_short_hydrogen_1</t>
  </si>
  <si>
    <t>tra_rail_fcev_pass_long_hydrogen_1</t>
  </si>
  <si>
    <t>tra_rail_hyb_pass_short_hydrogen_1</t>
  </si>
  <si>
    <t>tra_rail_hyb_pass_short_diesel_1</t>
  </si>
  <si>
    <t>tra_rail_oev_pass_short_1</t>
  </si>
  <si>
    <t>tra_rail_oev_pass_long_1</t>
  </si>
  <si>
    <t>tra_rail_bemu_pass_short_1</t>
  </si>
  <si>
    <t>tra_rail_bemu_pass_long_1</t>
  </si>
  <si>
    <t>tra_rail_oev_frei_long_1</t>
  </si>
  <si>
    <t>tra_rail_fcev_frei_short_hydrogen_1</t>
  </si>
  <si>
    <t>tra_rail_fcev_frei_long_hydrogen_1</t>
  </si>
  <si>
    <t>tra_rail_ice_frei_short_diesel_1</t>
  </si>
  <si>
    <t>tra_rail_ice_frei_long_diesel_1</t>
  </si>
  <si>
    <t>tra_rail_ice_frei_short_ammonia_1</t>
  </si>
  <si>
    <t>tra_rail_ice_frei_short_ethanol_1</t>
  </si>
  <si>
    <t>tra_rail_ice_frei_long_ethanol_1</t>
  </si>
  <si>
    <t>tra_rail_ice_frei_long_ammonia_1</t>
  </si>
  <si>
    <t>tra_water_fcev_frei_hydrogen_1</t>
  </si>
  <si>
    <t>tra_water_ice_frei_lng_1</t>
  </si>
  <si>
    <t>tra_water_ice_frei_methanol_1</t>
  </si>
  <si>
    <t>tra_water_ice_frei_ethanol_1</t>
  </si>
  <si>
    <t>tra_water_ice_frei_ammonia_1</t>
  </si>
  <si>
    <t>tra_water_ice_frei_diesel_1</t>
  </si>
  <si>
    <t>tra_water_ice_frei_hydrogen_1</t>
  </si>
  <si>
    <t>tra_road_bus_fcev_pass_short_hydrogen_1</t>
  </si>
  <si>
    <t>tra_road_bus_fcev_pass_long_hydrogen_1</t>
  </si>
  <si>
    <t>tra_road_bus_hyb_pass_short_diesel_1</t>
  </si>
  <si>
    <t>tra_road_bus_bev_pass_long_1</t>
  </si>
  <si>
    <t>tra_road_bus_bev_pass_short_1</t>
  </si>
  <si>
    <t>tra_road_bus_ice_pass_short_diesel_1</t>
  </si>
  <si>
    <t>tra_road_bus_ice_pass_long_diesel_1</t>
  </si>
  <si>
    <t>tra_road_lcar_fcev_pass_hydrogen_1</t>
  </si>
  <si>
    <t>tra_road_lcar_bev_pass_battery_infl_uni_1</t>
  </si>
  <si>
    <t>tra_road_lcar_bev_pass_battery_flex_uni_1</t>
  </si>
  <si>
    <t>tra_road_lcar_bev_pass_battery_flex_bi_1</t>
  </si>
  <si>
    <t>tra_road_lcar_bev_pass_wallbox_infl_uni_g2v_1</t>
  </si>
  <si>
    <t>tra_road_lcar_bev_pass_wallbox_flex_uni_g2v_1</t>
  </si>
  <si>
    <t>tra_road_lcar_bev_pass_wallbox_flex_bi_g2v_1</t>
  </si>
  <si>
    <t>tra_road_lcar_bev_pass_wallbox_flex_bi_v2g_1</t>
  </si>
  <si>
    <t>tra_road_lcar_bev_pass_engine_infl_uni_1</t>
  </si>
  <si>
    <t>tra_road_lcar_bev_pass_engine_flex_uni_1</t>
  </si>
  <si>
    <t>tra_road_lcar_bev_pass_engine_flex_bi_1</t>
  </si>
  <si>
    <t>tra_road_lcar_hyb_pass_gasoline_1</t>
  </si>
  <si>
    <t>tra_road_lcar_hyb_pass_diesel_1</t>
  </si>
  <si>
    <t>tra_road_lcar_ice_pass_hydrogen_1</t>
  </si>
  <si>
    <t>tra_road_lcar_ice_pass_methanol_1</t>
  </si>
  <si>
    <t>tra_road_lcar_ice_pass_cng_1</t>
  </si>
  <si>
    <t>tra_road_lcar_ice_pass_lpg_1</t>
  </si>
  <si>
    <t>tra_road_lcar_ice_pass_gasoline_1</t>
  </si>
  <si>
    <t>tra_road_lcar_ice_pass_diesel_1</t>
  </si>
  <si>
    <t>tra_road_lcar_ice_pass_flex_1</t>
  </si>
  <si>
    <t>tra_road_mcar_fcev_pass_hydrogen_1</t>
  </si>
  <si>
    <t>tra_road_mcar_bev_pass_battery_infl_uni_1</t>
  </si>
  <si>
    <t>tra_road_mcar_bev_pass_battery_flex_uni_1</t>
  </si>
  <si>
    <t>tra_road_mcar_bev_pass_battery_flex_bi_1</t>
  </si>
  <si>
    <t>tra_road_mcar_bev_pass_wallbox_infl_uni_g2v_1</t>
  </si>
  <si>
    <t>tra_road_mcar_bev_pass_wallbox_flex_uni_g2v_1</t>
  </si>
  <si>
    <t>tra_road_mcar_bev_pass_wallbox_flex_bi_v2g_1</t>
  </si>
  <si>
    <t>tra_road_mcar_bev_pass_wallbox_flex_bi_g2v_1</t>
  </si>
  <si>
    <t>tra_road_mcar_bev_pass_engine_infl_uni_1</t>
  </si>
  <si>
    <t>tra_road_mcar_bev_pass_engine_flex_uni_1</t>
  </si>
  <si>
    <t>tra_road_mcar_bev_pass_engine_flex_bi_1</t>
  </si>
  <si>
    <t>tra_road_mcar_hyb_pass_gasoline_1</t>
  </si>
  <si>
    <t>tra_road_mcar_hyb_pass_diesel_1</t>
  </si>
  <si>
    <t>tra_road_mcar_ice_pass_hydrogen_1</t>
  </si>
  <si>
    <t>tra_road_mcar_ice_pass_methanol_1</t>
  </si>
  <si>
    <t>tra_road_mcar_ice_pass_cng_1</t>
  </si>
  <si>
    <t>tra_road_mcar_ice_pass_lpg_1</t>
  </si>
  <si>
    <t>tra_road_mcar_ice_pass_gasoline_1</t>
  </si>
  <si>
    <t>tra_road_mcar_ice_pass_diesel_1</t>
  </si>
  <si>
    <t>tra_road_mcar_ice_pass_flex_1</t>
  </si>
  <si>
    <t>tra_road_hcar_fcev_pass_hydrogen_1</t>
  </si>
  <si>
    <t>tra_road_hcar_bev_pass_battery_infl_uni_1</t>
  </si>
  <si>
    <t>tra_road_hcar_bev_pass_battery_flex_uni_1</t>
  </si>
  <si>
    <t>tra_road_hcar_bev_pass_battery_flex_bi_1</t>
  </si>
  <si>
    <t>tra_road_hcar_bev_pass_wallbox_infl_uni_g2v_1</t>
  </si>
  <si>
    <t>tra_road_hcar_bev_pass_wallbox_flex_uni_g2v_1</t>
  </si>
  <si>
    <t>tra_road_hcar_bev_pass_wallbox_flex_bi_g2v_1</t>
  </si>
  <si>
    <t>tra_road_hcar_bev_pass_wallbox_flex_bi_v2g_1</t>
  </si>
  <si>
    <t>tra_road_hcar_bev_pass_engine_infl_uni_1</t>
  </si>
  <si>
    <t>tra_road_hcar_bev_pass_engine_flex_uni_1</t>
  </si>
  <si>
    <t>tra_road_hcar_bev_pass_engine_flex_bi_1</t>
  </si>
  <si>
    <t>tra_road_hcar_hyb_pass_gasoline_1</t>
  </si>
  <si>
    <t>tra_road_hcar_hyb_pass_diesel_1</t>
  </si>
  <si>
    <t>tra_road_hcar_ice_pass_hydrogen_1</t>
  </si>
  <si>
    <t>tra_road_hcar_ice_pass_methanol_1</t>
  </si>
  <si>
    <t>tra_road_hcar_ice_pass_cng_1</t>
  </si>
  <si>
    <t>tra_road_hcar_ice_pass_lpg_1</t>
  </si>
  <si>
    <t>tra_road_hcar_ice_pass_gasoline_1</t>
  </si>
  <si>
    <t>tra_road_hcar_ice_pass_diesel_1</t>
  </si>
  <si>
    <t>tra_road_hcar_ice_pass_flex_1</t>
  </si>
  <si>
    <t>tra_road_motorc_bev_pass_1</t>
  </si>
  <si>
    <t>tra_road_motorc_ice_pass_gasoline_1</t>
  </si>
  <si>
    <t>tra_road_ltruck_fcev_frei_hydrogen_1</t>
  </si>
  <si>
    <t>tra_road_ltruck_bev_frei_battery_infl_uni_1</t>
  </si>
  <si>
    <t>tra_road_ltruck_bev_frei_battery_flex_uni_1</t>
  </si>
  <si>
    <t>tra_road_ltruck_bev_frei_battery_flex_bi_1</t>
  </si>
  <si>
    <t>tra_road_ltruck_bev_frei_wallbox_infl_uni_g2v_1</t>
  </si>
  <si>
    <t>tra_road_ltruck_bev_frei_wallbox_flex_uni_g2v_1</t>
  </si>
  <si>
    <t>tra_road_ltruck_bev_frei_wallbox_flex_bi_g2v_1</t>
  </si>
  <si>
    <t>tra_road_ltruck_bev_frei_wallbox_flex_bi_v2g_1</t>
  </si>
  <si>
    <t>tra_road_ltruck_bev_frei_engine_infl_uni_1</t>
  </si>
  <si>
    <t>tra_road_ltruck_bev_frei_engine_flex_uni_1</t>
  </si>
  <si>
    <t>tra_road_ltruck_bev_frei_engine_flex_bi_1</t>
  </si>
  <si>
    <t>tra_road_ltruck_hyb_frei_diesel_1</t>
  </si>
  <si>
    <t>tra_road_ltruck_hyb_frei_gasoline_1</t>
  </si>
  <si>
    <t>tra_road_ltruck_ice_frei_methanol_1</t>
  </si>
  <si>
    <t>tra_road_ltruck_ice_frei_cng_1</t>
  </si>
  <si>
    <t>tra_road_ltruck_ice_frei_ethanol_1</t>
  </si>
  <si>
    <t>tra_road_ltruck_ice_frei_lpg_1</t>
  </si>
  <si>
    <t>tra_road_ltruck_ice_frei_hydrogen_1</t>
  </si>
  <si>
    <t>tra_road_ltruck_ice_frei_gasoline_1</t>
  </si>
  <si>
    <t>tra_road_ltruck_ice_frei_diesel_1</t>
  </si>
  <si>
    <t>tra_road_mtruck_fcev_frei_hydrogen_1</t>
  </si>
  <si>
    <t>tra_road_mtruck_bev_frei_battery_infl_uni_1</t>
  </si>
  <si>
    <t>tra_road_mtruck_bev_frei_battery_flex_uni_1</t>
  </si>
  <si>
    <t>tra_road_mtruck_bev_frei_battery_flex_bi_1</t>
  </si>
  <si>
    <t>tra_road_mtruck_bev_frei_wallbox_infl_uni_g2v_1</t>
  </si>
  <si>
    <t>tra_road_mtruck_bev_frei_wallbox_flex_uni_g2v_1</t>
  </si>
  <si>
    <t>tra_road_mtruck_bev_frei_wallbox_flex_bi_g2v_1</t>
  </si>
  <si>
    <t>tra_road_mtruck_bev_frei_wallbox_flex_bi_v2g_1</t>
  </si>
  <si>
    <t>tra_road_mtruck_bev_frei_engine_infl_uni_1</t>
  </si>
  <si>
    <t>tra_road_mtruck_bev_frei_engine_flex_uni_1</t>
  </si>
  <si>
    <t>tra_road_mtruck_bev_frei_engine_flex_bi_1</t>
  </si>
  <si>
    <t>tra_road_mtruck_hyb_frei_diesel_1</t>
  </si>
  <si>
    <t>tra_road_mtruck_hyb_frei_gasoline_1</t>
  </si>
  <si>
    <t>tra_road_mtruck_ice_frei_methanol_1</t>
  </si>
  <si>
    <t>tra_road_mtruck_ice_frei_lng_1</t>
  </si>
  <si>
    <t>tra_road_mtruck_ice_frei_cng_1</t>
  </si>
  <si>
    <t>tra_road_mtruck_ice_frei_ethanol_1</t>
  </si>
  <si>
    <t>tra_road_mtruck_ice_frei_lpg_1</t>
  </si>
  <si>
    <t>tra_road_mtruck_ice_frei_hydrogen_1</t>
  </si>
  <si>
    <t>tra_road_mtruck_ice_frei_gasoline_1</t>
  </si>
  <si>
    <t>tra_road_mtruck_ice_frei_diesel_1</t>
  </si>
  <si>
    <t>tra_road_htruck_fcev_frei_hydrogen_1</t>
  </si>
  <si>
    <t>tra_road_htruck_bev_frei_battery_infl_uni_1</t>
  </si>
  <si>
    <t>tra_road_htruck_bev_frei_battery_flex_uni_1</t>
  </si>
  <si>
    <t>tra_road_htruck_bev_frei_battery_flex_bi_1</t>
  </si>
  <si>
    <t>tra_road_htruck_bev_frei_wallbox_infl_uni_g2v_1</t>
  </si>
  <si>
    <t>tra_road_htruck_bev_frei_wallbox_flex_uni_g2v_1</t>
  </si>
  <si>
    <t>tra_road_htruck_bev_frei_wallbox_flex_bi_g2v_1</t>
  </si>
  <si>
    <t>tra_road_htruck_bev_frei_wallbox_flex_bi_v2g_1</t>
  </si>
  <si>
    <t>tra_road_htruck_bev_frei_engine_infl_uni_1</t>
  </si>
  <si>
    <t>tra_road_htruck_bev_frei_engine_flex_uni_1</t>
  </si>
  <si>
    <t>tra_road_htruck_bev_frei_engine_flex_bi_1</t>
  </si>
  <si>
    <t>tra_road_htruck_oev_frei_1</t>
  </si>
  <si>
    <t>tra_road_htruck_ice_frei_diesel_1</t>
  </si>
  <si>
    <t>tra_road_htruck_ice_frei_ethanol_1</t>
  </si>
  <si>
    <t>tra_road_htruck_ice_frei_hydrogen_1</t>
  </si>
  <si>
    <t>tra_road_htruck_ice_frei_lng_1</t>
  </si>
  <si>
    <t>tra_road_htruck_ice_frei_cng_1</t>
  </si>
  <si>
    <t>tra_road_htruck_fcev_frei_ammonia_1</t>
  </si>
  <si>
    <t>tra_road_agri_ice_diesel_1</t>
  </si>
  <si>
    <t>tra_road_const_ice_diesel_1</t>
  </si>
  <si>
    <t>tra_air_fcev_pass_hydrogen_1_ag</t>
  </si>
  <si>
    <t>tra_air_ice_pass_kerosene_1_ag</t>
  </si>
  <si>
    <t>tra_air_hyb_pass_kerosene_1_ag</t>
  </si>
  <si>
    <t>tra_air_ice_pass_hydrogen_1_ag</t>
  </si>
  <si>
    <t>tra_rail_ice_pass_diesel_1_ag</t>
  </si>
  <si>
    <t>tra_rail_ice_pass_ethanol_1_ag</t>
  </si>
  <si>
    <t>tra_rail_fcev_pass_hydrogen_1_ag</t>
  </si>
  <si>
    <t>tra_rail_oev_pass_1_ag</t>
  </si>
  <si>
    <t>tra_rail_bemu_pass_1_ag</t>
  </si>
  <si>
    <t>tra_rail_fcev_frei_hydrogen_1_ag</t>
  </si>
  <si>
    <t>tra_rail_ice_frei_ammonia_1_ag</t>
  </si>
  <si>
    <t>tra_rail_ice_frei_diesel_1_ag</t>
  </si>
  <si>
    <t>tra_rail_ice_frei_ethanol_1_ag</t>
  </si>
  <si>
    <t>tra_road_bus_fcev_pass_hydrogen_1_ag</t>
  </si>
  <si>
    <t>tra_road_bus_bev_pass_1_ag</t>
  </si>
  <si>
    <t>tra_road_bus_ice_pass_diesel_1_ag</t>
  </si>
  <si>
    <t>tra_road_car_fcev_pass_hydrogen_1_ag</t>
  </si>
  <si>
    <t>tra_road_car_bev_pass_battery_infl_uni_1_ag</t>
  </si>
  <si>
    <t>tra_road_car_bev_pass_battery_flex_uni_1_ag</t>
  </si>
  <si>
    <t>tra_road_car_bev_pass_battery_flex_bi_1_ag</t>
  </si>
  <si>
    <t>tra_road_car_bev_pass_wallbox_infl_uni_g2v_1_ag</t>
  </si>
  <si>
    <t>tra_road_car_bev_pass_wallbox_flex_uni_g2v_1_ag</t>
  </si>
  <si>
    <t>tra_road_car_bev_pass_wallbox_flex_bi_g2v_1_ag</t>
  </si>
  <si>
    <t>tra_road_car_bev_pass_wallbox_flex_bi_v2g_1_ag</t>
  </si>
  <si>
    <t>tra_road_car_bev_pass_engine_infl_uni_1_ag</t>
  </si>
  <si>
    <t>tra_road_car_bev_pass_engine_flex_uni_1_ag</t>
  </si>
  <si>
    <t>tra_road_car_bev_pass_engine_flex_bi_1_ag</t>
  </si>
  <si>
    <t>tra_road_car_hyb_pass_gasoline_1_ag</t>
  </si>
  <si>
    <t>tra_road_car_hyb_pass_diesel_1_ag</t>
  </si>
  <si>
    <t>tra_road_car_ice_pass_hydrogen_1_ag</t>
  </si>
  <si>
    <t>tra_road_car_ice_pass_methanol_1_ag</t>
  </si>
  <si>
    <t>tra_road_car_ice_pass_cng_1_ag</t>
  </si>
  <si>
    <t>tra_road_car_ice_pass_lpg_1_ag</t>
  </si>
  <si>
    <t>tra_road_car_ice_pass_gasoline_1_ag</t>
  </si>
  <si>
    <t>tra_road_car_ice_pass_diesel_1_ag</t>
  </si>
  <si>
    <t>tra_road_car_ice_pass_flex_1_ag</t>
  </si>
  <si>
    <t>tra_road_truck_bev_frei_battery_infl_uni_1_ag</t>
  </si>
  <si>
    <t>tra_road_truck_bev_frei_battery_flex_uni_1_ag</t>
  </si>
  <si>
    <t>tra_road_truck_bev_frei_battery_flex_bi_1_ag</t>
  </si>
  <si>
    <t>tra_road_truck_bev_frei_wallbox_infl_uni_g2v_1_ag</t>
  </si>
  <si>
    <t>tra_road_truck_bev_frei_wallbox_flex_uni_g2v_1_ag</t>
  </si>
  <si>
    <t>tra_road_truck_bev_frei_wallbox_flex_bi_g2v_1_ag</t>
  </si>
  <si>
    <t>tra_road_truck_bev_frei_wallbox_flex_bi_v2g_1_ag</t>
  </si>
  <si>
    <t>tra_road_truck_bev_frei_engine_infl_uni_1_ag</t>
  </si>
  <si>
    <t>tra_road_truck_bev_frei_engine_flex_uni_1_ag</t>
  </si>
  <si>
    <t>tra_road_truck_bev_frei_engine_flex_bi_1_ag</t>
  </si>
  <si>
    <t>tra_road_truck_fcev_frei_hydrogen_1_ag</t>
  </si>
  <si>
    <t>tra_road_truck_hyb_frei_diesel_1_ag</t>
  </si>
  <si>
    <t>tra_road_truck_hyb_frei_gasoline_1_ag</t>
  </si>
  <si>
    <t>tra_road_truck_ice_frei_lng_1_ag</t>
  </si>
  <si>
    <t>tra_road_truck_ice_frei_lpg_1_ag</t>
  </si>
  <si>
    <t>tra_road_truck_ice_frei_methanol_1_ag</t>
  </si>
  <si>
    <t>tra_road_truck_ice_frei_cng_1_ag</t>
  </si>
  <si>
    <t>tra_road_truck_ice_frei_ethanol_1_ag</t>
  </si>
  <si>
    <t>tra_road_truck_ice_frei_hydrogen_1_ag</t>
  </si>
  <si>
    <t>tra_road_truck_ice_frei_gasoline_1_ag</t>
  </si>
  <si>
    <t>tra_road_truck_ice_frei_diesel_1_ag</t>
  </si>
  <si>
    <t>tra_air_ice_pass_1_ag</t>
  </si>
  <si>
    <t>tra_rail_hyb_pass_1_ag</t>
  </si>
  <si>
    <t>tra_rail_ice_pass_1_ag</t>
  </si>
  <si>
    <t>tra_rail_ice_frei_1_ag</t>
  </si>
  <si>
    <t>tra_water_ice_frei_1_ag</t>
  </si>
  <si>
    <t>tra_road_car_hyb_pass_1_ag</t>
  </si>
  <si>
    <t>tra_road_car_ice_pass_1_ag</t>
  </si>
  <si>
    <t>tra_road_truck_ice_frei_1_ag</t>
  </si>
  <si>
    <t>tra_road_truck_hyb_frei_1_ag</t>
  </si>
  <si>
    <t>tra_road_truck_fcev_frei_1_ag</t>
  </si>
  <si>
    <t>sec_elec_at</t>
  </si>
  <si>
    <t>sec_elec_be</t>
  </si>
  <si>
    <t>sec_elec_ch</t>
  </si>
  <si>
    <t>sec_elec_cz</t>
  </si>
  <si>
    <t>sec_elec_dk</t>
  </si>
  <si>
    <t>sec_elec_fr</t>
  </si>
  <si>
    <t>sec_elec_lu</t>
  </si>
  <si>
    <t>sec_elec_nl</t>
  </si>
  <si>
    <t>sec_elec_no</t>
  </si>
  <si>
    <t>sec_elec_pl</t>
  </si>
  <si>
    <t>sec_elec_se</t>
  </si>
  <si>
    <t>helper_pow_ind_grid_elec</t>
  </si>
  <si>
    <t>iip_elec</t>
  </si>
  <si>
    <t>helper_ind_pow_grid_elec</t>
  </si>
  <si>
    <t>helper_ind_elec</t>
  </si>
  <si>
    <t>helper_ind_auto_space_heat</t>
  </si>
  <si>
    <t>helper_ind_chemi_steam</t>
  </si>
  <si>
    <t>helper_ind_tra_methanol</t>
  </si>
  <si>
    <t>iip_chemi_biomethanol</t>
  </si>
  <si>
    <t>helper_ind_tra_biomethanol</t>
  </si>
  <si>
    <t>sec_biomethanol_orig</t>
  </si>
  <si>
    <t>helper_ind_tra_nh3</t>
  </si>
  <si>
    <t>helper_x2x_ind_nh3_hydrogen</t>
  </si>
  <si>
    <t>helper_x2x_ind_meoh_hydrogen</t>
  </si>
  <si>
    <t>helper_x2x_ind_mtg_mtk_hydrogen</t>
  </si>
  <si>
    <t>iip_chemi_mtg_mtk_h2</t>
  </si>
  <si>
    <t>helper_x2x_ind_methane</t>
  </si>
  <si>
    <t>iip_chemi_methane</t>
  </si>
  <si>
    <t>helper_x2x_ind_lpg</t>
  </si>
  <si>
    <t>iip_chemi_lpg</t>
  </si>
  <si>
    <t>iip_steel_blafu_gas</t>
  </si>
  <si>
    <t>helper_ind_iip_steel_blafu_gas</t>
  </si>
  <si>
    <t>iip_steel_blafu_gas_in</t>
  </si>
  <si>
    <r>
      <rPr>
        <sz val="11"/>
        <color theme="1"/>
        <rFont val="Aptos Narrow"/>
        <family val="2"/>
        <charset val="1"/>
      </rPr>
      <t>helper_ind_</t>
    </r>
    <r>
      <rPr>
        <sz val="11"/>
        <color theme="1"/>
        <rFont val="Calibri"/>
        <charset val="1"/>
      </rPr>
      <t>iip_steel_coke_oven_gas</t>
    </r>
  </si>
  <si>
    <t>iip_steel_coke_oven_gas_in</t>
  </si>
  <si>
    <t>helper_pow_ind_biomass</t>
  </si>
  <si>
    <t>iip_chemi_biomass</t>
  </si>
  <si>
    <t>helper_x2x_ind_naphtha</t>
  </si>
  <si>
    <t>iip_chemi_naphtha</t>
  </si>
  <si>
    <t>helper_x2x_ind_hfo</t>
  </si>
  <si>
    <t>iip_chemi_heavy_fuel_oil</t>
  </si>
  <si>
    <t>helper_x2x_heating_oil</t>
  </si>
  <si>
    <t>helper_x2x_x2gas_syngas</t>
  </si>
  <si>
    <t>[pri_natural_gas, sec_natural_gas_syn]</t>
  </si>
  <si>
    <t>helper_x2x_merge_methane</t>
  </si>
  <si>
    <t>sec_methane_orig</t>
  </si>
  <si>
    <t>helper_x2x_merge_methanol</t>
  </si>
  <si>
    <t>[sec_gasoline_fos_orig,sec_gasoline_syn_orig]</t>
  </si>
  <si>
    <t>helper_x2x_merge_gasoline</t>
  </si>
  <si>
    <t>[sec_diesel_fos_orig,sec_diesel_syn_orig,sec_biodiesel_orig]</t>
  </si>
  <si>
    <t>helper_x2x_merge_diesel</t>
  </si>
  <si>
    <t>[sec_kerosene_fos_orig,sec_kerosene_syn_orig,sec_biokerosene_orig]</t>
  </si>
  <si>
    <t>helper_x2x_merge_kerosene</t>
  </si>
  <si>
    <t>[sec_naphtha_fos_orig,sec_naphtha_syn_orig]</t>
  </si>
  <si>
    <t>helper_x2x_merge_naphtha</t>
  </si>
  <si>
    <t>helper_x2x_storage_crude_oil</t>
  </si>
  <si>
    <t>helper_x2x_storage_diesel</t>
  </si>
  <si>
    <t>helper_x2x_storage_kerosene</t>
  </si>
  <si>
    <t>helper_x2x_storage_gasoline</t>
  </si>
  <si>
    <t>helper_x2x_storage_heavy_oil</t>
  </si>
  <si>
    <t>[emi_co2_neg_air_dacc,emi_co2_neg_fuel_cc_pow,emi_co2_neg_fuel_cc_ind,emi_co2_neg_fuel_cc_x2x,emi_co2_neg_proc_cc_ind,emi_co2_neg_air_bio,emi_co2_neg_imp ]</t>
  </si>
  <si>
    <t>helper_co2_delivery</t>
  </si>
  <si>
    <t>emi_co2_reusable</t>
  </si>
  <si>
    <t>AP7</t>
  </si>
  <si>
    <t>helper_co2_storage_permanent</t>
  </si>
  <si>
    <t>emi_co2_stored</t>
  </si>
  <si>
    <t>helper_source_marine</t>
  </si>
  <si>
    <t>AP4</t>
  </si>
  <si>
    <t>helper_source_solar_radiation</t>
  </si>
  <si>
    <t>helper_source_wind</t>
  </si>
  <si>
    <t>helper_source_hydro_energy</t>
  </si>
  <si>
    <t>helper_source_hydro_nat_inflow</t>
  </si>
  <si>
    <t>pri_hydro_nat_inflow</t>
  </si>
  <si>
    <t>helper_source_geo</t>
  </si>
  <si>
    <t>AP6</t>
  </si>
  <si>
    <t>helper_source_env</t>
  </si>
  <si>
    <t>pri_envir_heat</t>
  </si>
  <si>
    <t>helper_source_saving</t>
  </si>
  <si>
    <t>helper_tra_road_hcar_bev_pass_0</t>
  </si>
  <si>
    <t>helper_tra_road_mcar_bev_pass_0</t>
  </si>
  <si>
    <t>helper_tra_road_lcar_bev_pass_0</t>
  </si>
  <si>
    <t>helper_tra_road_htruck_bev_frei_0</t>
  </si>
  <si>
    <t>helper_tra_road_mtruck_bev_frei_0</t>
  </si>
  <si>
    <t>helper_tra_road_ltruck_bev_frei_0</t>
  </si>
  <si>
    <t>helper_tra_road_car_bev_pass_0_ag</t>
  </si>
  <si>
    <t>helper_tra_road_truck_bev_frei_0_ag</t>
  </si>
  <si>
    <t>helper_tra_road_hcar_bev_pass_1</t>
  </si>
  <si>
    <t>helper_tra_road_mcar_bev_pass_1</t>
  </si>
  <si>
    <t>helper_tra_road_lcar_bev_pass_1</t>
  </si>
  <si>
    <t>helper_tra_road_htruck_bev_frei_1</t>
  </si>
  <si>
    <t>helper_tra_road_mtruck_bev_frei_1</t>
  </si>
  <si>
    <t>helper_tra_road_ltruck_bev_frei_1</t>
  </si>
  <si>
    <t>helper_tra_road_car_bev_pass_1_ag</t>
  </si>
  <si>
    <t>helper_tra_road_truck_bev_frei_1_ag</t>
  </si>
  <si>
    <t>helper_sink_exo_air_pkm</t>
  </si>
  <si>
    <t>helper_sink_exo_air_natio_pkm</t>
  </si>
  <si>
    <t>helper_sink_exo_air_europ_pkm</t>
  </si>
  <si>
    <t>exo_air_inter_pkm</t>
  </si>
  <si>
    <t>helper_sink_exo_air_inter_pkm</t>
  </si>
  <si>
    <t>helper_sink_exo_rail_pkm</t>
  </si>
  <si>
    <t>helper_sink_exo_rail_short_pkm</t>
  </si>
  <si>
    <t>helper_sink_exo_rail_long_pkm</t>
  </si>
  <si>
    <t>helper_sink_exo_rail_tkm</t>
  </si>
  <si>
    <t>helper_sink_exo_rail_short_tkm</t>
  </si>
  <si>
    <t>helper_sink_exo_rail_long_tkm</t>
  </si>
  <si>
    <t>helper_sink_exo_water_tkm</t>
  </si>
  <si>
    <t>helper_sink_exo_road_car_pkm</t>
  </si>
  <si>
    <t>helper_sink_exo_road_lcar_pkm</t>
  </si>
  <si>
    <t>helper_sink_exo_road_mcar_pkm</t>
  </si>
  <si>
    <t>helper_sink_exo_road_hcar_pkm</t>
  </si>
  <si>
    <t>helper_sink_exo_road_motorc_pkm</t>
  </si>
  <si>
    <t>helper_sink_exo_road_truck_tkm</t>
  </si>
  <si>
    <t>helper_sink_exo_road_ltruck_tkm</t>
  </si>
  <si>
    <t>helper_sink_exo_road_mtruck_tkm</t>
  </si>
  <si>
    <t>helper_sink_exo_road_htruck_tkm</t>
  </si>
  <si>
    <t>helper_sink_exo_road_bus_pkm</t>
  </si>
  <si>
    <t>helper_sink_exo_road_bus_short_pkm</t>
  </si>
  <si>
    <t>helper_sink_exo_road_bus_long_pkm</t>
  </si>
  <si>
    <t>exo_road_agri_diesel</t>
  </si>
  <si>
    <t>helper_sink_exo_road_agri_diesel</t>
  </si>
  <si>
    <t>exo_road_const_diesel</t>
  </si>
  <si>
    <t>helper_sink_exo_road_const_diesel</t>
  </si>
  <si>
    <t>helper_sink_exo_hh_space_heat</t>
  </si>
  <si>
    <t>helper_sink_exo_hh_hot_water</t>
  </si>
  <si>
    <t>helper_sink_exo_hh_space_cooling</t>
  </si>
  <si>
    <t>helper_sink_exo_hh_re1_space_heat</t>
  </si>
  <si>
    <t>helper_sink_exo_hh_re1_hot_water</t>
  </si>
  <si>
    <t>helper_sink_exo_hh_re1_space_cooling</t>
  </si>
  <si>
    <t>helper_sink_exo_hh_re2_space_heat</t>
  </si>
  <si>
    <t>helper_sink_exo_hh_re2_hot_water</t>
  </si>
  <si>
    <t>helper_sink_exo_hh_re2_space_cooling</t>
  </si>
  <si>
    <t>helper_sink_exo_hh_re3_space_heat</t>
  </si>
  <si>
    <t>helper_sink_exo_hh_re3_hot_water</t>
  </si>
  <si>
    <t>helper_sink_exo_hh_re3_space_cooling</t>
  </si>
  <si>
    <t>helper_sink_exo_hh_rn1_space_heat</t>
  </si>
  <si>
    <t>helper_sink_exo_hh_rn1_hot_water</t>
  </si>
  <si>
    <t>helper_sink_exo_hh_rn1_space_cooling</t>
  </si>
  <si>
    <t>helper_sink_exo_hh_ue1_space_heat</t>
  </si>
  <si>
    <t>helper_sink_exo_hh_ue1_hot_water</t>
  </si>
  <si>
    <t>helper_sink_exo_hh_ue1_space_cooling</t>
  </si>
  <si>
    <t>helper_sink_exo_hh_ue2_space_heat</t>
  </si>
  <si>
    <t>helper_sink_exo_hh_ue2_hot_water</t>
  </si>
  <si>
    <t>helper_sink_exo_hh_ue2_space_cooling</t>
  </si>
  <si>
    <t>helper_sink_exo_hh_ue3_space_heat</t>
  </si>
  <si>
    <t>helper_sink_exo_hh_ue3_hot_water</t>
  </si>
  <si>
    <t>helper_sink_exo_hh_ue3_space_cooling</t>
  </si>
  <si>
    <t>helper_sink_exo_hh_un1_space_heat</t>
  </si>
  <si>
    <t>helper_sink_exo_hh_un1_hot_water</t>
  </si>
  <si>
    <t>helper_sink_exo_hh_un1_space_cooling</t>
  </si>
  <si>
    <t>helper_sink_exo_hh_me1_space_heat</t>
  </si>
  <si>
    <t>helper_sink_exo_hh_me1_hot_water</t>
  </si>
  <si>
    <t>helper_sink_exo_hh_me1_space_cooling</t>
  </si>
  <si>
    <t>helper_sink_exo_hh_me2_space_heat</t>
  </si>
  <si>
    <t>helper_sink_exo_hh_me2_hot_water</t>
  </si>
  <si>
    <t>helper_sink_exo_hh_me2_space_cooling</t>
  </si>
  <si>
    <t>helper_sink_exo_hh_me3_space_heat</t>
  </si>
  <si>
    <t>helper_sink_exo_hh_me3_hot_water</t>
  </si>
  <si>
    <t>helper_sink_exo_hh_me3_space_cooling</t>
  </si>
  <si>
    <t>helper_sink_exo_hh_mn1_space_heat</t>
  </si>
  <si>
    <t>helper_sink_exo_hh_mn1_hot_water</t>
  </si>
  <si>
    <t>helper_sink_exo_hh_mn1_space_cooling</t>
  </si>
  <si>
    <t>helper_sink_exo_cts_space_heat</t>
  </si>
  <si>
    <t>helper_sink_exo_cts_hot_water</t>
  </si>
  <si>
    <t>helper_sink_exo_cts_space_cooling</t>
  </si>
  <si>
    <t>helper_sink_exo_cts_proc_cooling</t>
  </si>
  <si>
    <t>helper_sink_exo_cts_t1e_space_heat</t>
  </si>
  <si>
    <t>helper_sink_exo_cts_t1e_hot_water</t>
  </si>
  <si>
    <t>helper_sink_exo_cts_t1e_space_cooling</t>
  </si>
  <si>
    <t>exo_cts_t1n_space_heat</t>
  </si>
  <si>
    <t>helper_sink_exo_cts_t1n_space_heat</t>
  </si>
  <si>
    <t>helper_sink_exo_cts_t1n_hot_water</t>
  </si>
  <si>
    <t>helper_sink_exo_cts_t1n_space_cooling</t>
  </si>
  <si>
    <t>helper_sink_exo_cts_t2e_space_heat</t>
  </si>
  <si>
    <t>helper_sink_exo_cts_t2e_hot_water</t>
  </si>
  <si>
    <t>helper_sink_exo_cts_t2e_space_cooling</t>
  </si>
  <si>
    <t>helper_sink_exo_cts_t2n_space_heat</t>
  </si>
  <si>
    <t>helper_sink_exo_cts_t2n_hot_water</t>
  </si>
  <si>
    <t>helper_sink_exo_cts_t2n_space_cooling</t>
  </si>
  <si>
    <t>exo_aluminum</t>
  </si>
  <si>
    <t>helper_sink_exo_aluminum</t>
  </si>
  <si>
    <t>helper_sink_exo_cement</t>
  </si>
  <si>
    <t>exo_copper</t>
  </si>
  <si>
    <t>helper_sink_exo_copper</t>
  </si>
  <si>
    <t>exo_glass_cont</t>
  </si>
  <si>
    <t>helper_sink_exo_glass_cont</t>
  </si>
  <si>
    <t>exo_glass_fibe</t>
  </si>
  <si>
    <t>helper_sink_exo_glass_fibe</t>
  </si>
  <si>
    <t>exo_glass_flat</t>
  </si>
  <si>
    <t>helper_sink_exo_glass_flat</t>
  </si>
  <si>
    <t>exo_glass_spec</t>
  </si>
  <si>
    <t>helper_sink_exo_glass_spec</t>
  </si>
  <si>
    <t>exo_paper_hq</t>
  </si>
  <si>
    <t>helper_sink_exo_paper_hq</t>
  </si>
  <si>
    <t>helper_sink_exo_paper_lq</t>
  </si>
  <si>
    <t>exo_steel</t>
  </si>
  <si>
    <t>helper_sink_exo_steel</t>
  </si>
  <si>
    <t>helper_sink_exo_automobile_pc_icev</t>
  </si>
  <si>
    <t>helper_sink_exo_automobile_pc_phev</t>
  </si>
  <si>
    <t>helper_sink_exo_automobile_pc_bev</t>
  </si>
  <si>
    <t>helper_sink_exo_automobile_pc_fcev</t>
  </si>
  <si>
    <t>helper_sink_exo_automobile_lcv_icev</t>
  </si>
  <si>
    <t>helper_sink_exo_automobile_lcv_bev</t>
  </si>
  <si>
    <t>helper_sink_exo_automobile_lcv_fcev</t>
  </si>
  <si>
    <t>helper_sink_exo_automobile_hcv_icev</t>
  </si>
  <si>
    <t>helper_sink_exo_automobile_hcv_bev</t>
  </si>
  <si>
    <t>helper_sink_exo_automobile_hcv_fcev</t>
  </si>
  <si>
    <t>helper_sink_exo_chemical_olefins</t>
  </si>
  <si>
    <t>helper_sink_exo_chemical_btx</t>
  </si>
  <si>
    <t>exo_chemi_nh3</t>
  </si>
  <si>
    <t>helper_sink_exo_chemical_nh3</t>
  </si>
  <si>
    <t>helper_sink_exo_chemical_cl2</t>
  </si>
  <si>
    <t>helper_sink_exo_chemical_methanol</t>
  </si>
  <si>
    <t>exo_chemi_others</t>
  </si>
  <si>
    <t>helper_sink_exo_chemical_others</t>
  </si>
  <si>
    <t>helper_sink_iip_black_liquor</t>
  </si>
  <si>
    <t>helper_sink_exo_sec_elec_at</t>
  </si>
  <si>
    <t>helper_sink_exo_sec_elec_be</t>
  </si>
  <si>
    <t>helper_sink_exo_sec_elec_ch</t>
  </si>
  <si>
    <t>helper_sink_exo_sec_elec_cz</t>
  </si>
  <si>
    <t>helper_sink_exo_sec_elec_dk</t>
  </si>
  <si>
    <t>helper_sink_exo_sec_elec_fr</t>
  </si>
  <si>
    <t>helper_sink_exo_sec_elec_lu</t>
  </si>
  <si>
    <t>helper_sink_exo_sec_elec_nl</t>
  </si>
  <si>
    <t>helper_sink_exo_sec_elec_no</t>
  </si>
  <si>
    <t>helper_sink_exo_sec_elec_pl</t>
  </si>
  <si>
    <t>helper_sink_exo_sec_elec_se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</si>
</sst>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charset val="1"/>
    </font>
    <font>
      <b/>
      <sz val="14"/>
      <color theme="0"/>
      <name val="Arial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charset val="1"/>
    </font>
    <font>
      <sz val="11"/>
      <name val="Calibri"/>
      <charset val="1"/>
    </font>
    <font>
      <sz val="11"/>
      <color rgb="FFFF0000"/>
      <name val="Calibri"/>
      <charset val="1"/>
    </font>
    <font>
      <sz val="11"/>
      <color rgb="FF000000"/>
      <name val="Arial"/>
      <family val="2"/>
      <charset val="1"/>
    </font>
    <font>
      <sz val="11"/>
      <color rgb="FF9C0006"/>
      <name val="Calibri"/>
      <charset val="1"/>
    </font>
    <font>
      <b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sz val="11"/>
      <color rgb="FF9C6500"/>
      <name val="Calibri"/>
      <charset val="1"/>
    </font>
    <font>
      <sz val="1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FFC7CE"/>
        <bgColor rgb="FFF2CFEE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BF0000"/>
        <bgColor rgb="FF9C0006"/>
      </patternFill>
    </fill>
    <fill>
      <patternFill patternType="solid">
        <fgColor rgb="FFCBCBCB"/>
        <bgColor rgb="FFCCCCCC"/>
      </patternFill>
    </fill>
    <fill>
      <patternFill patternType="solid">
        <fgColor rgb="FFFFFFFF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1">
    <xf numFmtId="0" fontId="0" fillId="0" borderId="0"/>
    <xf numFmtId="0" fontId="14" fillId="0" borderId="0" applyBorder="0" applyProtection="0"/>
    <xf numFmtId="0" fontId="14" fillId="0" borderId="0" applyBorder="0" applyProtection="0"/>
    <xf numFmtId="0" fontId="1" fillId="0" borderId="0" applyBorder="0" applyProtection="0"/>
    <xf numFmtId="0" fontId="14" fillId="0" borderId="0"/>
    <xf numFmtId="0" fontId="14" fillId="0" borderId="0" applyBorder="0" applyProtection="0"/>
    <xf numFmtId="0" fontId="14" fillId="0" borderId="0" applyBorder="0" applyProtection="0"/>
    <xf numFmtId="0" fontId="14" fillId="0" borderId="0" applyBorder="0" applyProtection="0"/>
    <xf numFmtId="0" fontId="10" fillId="2" borderId="0" applyBorder="0"/>
    <xf numFmtId="0" fontId="13" fillId="3" borderId="0" applyBorder="0"/>
    <xf numFmtId="0" fontId="8" fillId="0" borderId="0" applyBorder="0"/>
  </cellStyleXfs>
  <cellXfs count="30">
    <xf numFmtId="0" fontId="0" fillId="0" borderId="0" xfId="0"/>
    <xf numFmtId="0" fontId="14" fillId="0" borderId="0" xfId="5" applyBorder="1" applyProtection="1"/>
    <xf numFmtId="0" fontId="2" fillId="0" borderId="0" xfId="5" applyFont="1" applyBorder="1" applyProtection="1"/>
    <xf numFmtId="0" fontId="14" fillId="0" borderId="0" xfId="4"/>
    <xf numFmtId="0" fontId="3" fillId="4" borderId="0" xfId="5" applyFont="1" applyFill="1" applyBorder="1" applyAlignment="1" applyProtection="1">
      <alignment horizontal="left"/>
    </xf>
    <xf numFmtId="0" fontId="4" fillId="0" borderId="0" xfId="5" applyFont="1" applyBorder="1" applyAlignment="1" applyProtection="1">
      <alignment horizontal="left"/>
    </xf>
    <xf numFmtId="0" fontId="5" fillId="0" borderId="0" xfId="5" applyFont="1" applyBorder="1" applyProtection="1"/>
    <xf numFmtId="0" fontId="4" fillId="0" borderId="0" xfId="5" applyFont="1" applyBorder="1" applyAlignment="1" applyProtection="1">
      <alignment horizontal="left" vertical="center"/>
    </xf>
    <xf numFmtId="0" fontId="4" fillId="0" borderId="1" xfId="5" applyFont="1" applyBorder="1" applyAlignment="1" applyProtection="1">
      <alignment horizontal="left" vertical="center"/>
    </xf>
    <xf numFmtId="0" fontId="14" fillId="0" borderId="0" xfId="5" applyBorder="1" applyAlignment="1" applyProtection="1">
      <alignment horizontal="left" vertical="center"/>
    </xf>
    <xf numFmtId="0" fontId="7" fillId="0" borderId="0" xfId="5" applyFont="1" applyBorder="1" applyAlignment="1" applyProtection="1">
      <alignment horizontal="left" wrapText="1"/>
    </xf>
    <xf numFmtId="0" fontId="6" fillId="0" borderId="0" xfId="5" applyFont="1" applyBorder="1" applyAlignment="1" applyProtection="1">
      <alignment horizontal="left"/>
    </xf>
    <xf numFmtId="0" fontId="4" fillId="6" borderId="0" xfId="5" applyFont="1" applyFill="1" applyBorder="1" applyAlignment="1" applyProtection="1">
      <alignment horizontal="left"/>
    </xf>
    <xf numFmtId="0" fontId="4" fillId="0" borderId="0" xfId="5" applyFont="1" applyBorder="1" applyProtection="1"/>
    <xf numFmtId="0" fontId="9" fillId="0" borderId="0" xfId="5" applyFont="1" applyBorder="1" applyProtection="1"/>
    <xf numFmtId="0" fontId="4" fillId="0" borderId="2" xfId="5" applyFont="1" applyBorder="1" applyAlignment="1" applyProtection="1">
      <alignment horizontal="left"/>
    </xf>
    <xf numFmtId="0" fontId="7" fillId="0" borderId="0" xfId="5" applyFont="1" applyBorder="1" applyAlignment="1" applyProtection="1">
      <alignment horizontal="left"/>
    </xf>
    <xf numFmtId="0" fontId="4" fillId="0" borderId="0" xfId="8" applyFont="1" applyFill="1" applyBorder="1" applyAlignment="1">
      <alignment horizontal="left"/>
    </xf>
    <xf numFmtId="0" fontId="4" fillId="0" borderId="2" xfId="5" applyFont="1" applyBorder="1" applyAlignment="1" applyProtection="1">
      <alignment horizontal="left" vertical="center"/>
    </xf>
    <xf numFmtId="0" fontId="4" fillId="6" borderId="0" xfId="8" applyFont="1" applyFill="1" applyBorder="1" applyAlignment="1">
      <alignment horizontal="left"/>
    </xf>
    <xf numFmtId="0" fontId="7" fillId="5" borderId="0" xfId="5" applyFont="1" applyFill="1" applyBorder="1" applyAlignment="1" applyProtection="1">
      <alignment horizontal="left"/>
    </xf>
    <xf numFmtId="0" fontId="7" fillId="0" borderId="0" xfId="5" applyFont="1" applyBorder="1" applyAlignment="1" applyProtection="1">
      <alignment horizontal="left" vertical="center"/>
    </xf>
    <xf numFmtId="0" fontId="11" fillId="4" borderId="0" xfId="5" applyFont="1" applyFill="1" applyBorder="1" applyAlignment="1" applyProtection="1">
      <alignment horizontal="left"/>
    </xf>
    <xf numFmtId="0" fontId="12" fillId="0" borderId="0" xfId="5" applyFont="1" applyBorder="1" applyProtection="1"/>
    <xf numFmtId="0" fontId="1" fillId="0" borderId="0" xfId="5" applyFont="1" applyBorder="1" applyProtection="1"/>
    <xf numFmtId="0" fontId="7" fillId="0" borderId="0" xfId="5" applyFont="1" applyBorder="1" applyProtection="1"/>
    <xf numFmtId="0" fontId="14" fillId="0" borderId="0" xfId="7" applyBorder="1" applyProtection="1"/>
    <xf numFmtId="0" fontId="5" fillId="0" borderId="0" xfId="5" applyFont="1" applyBorder="1" applyAlignment="1" applyProtection="1">
      <alignment horizontal="right"/>
    </xf>
    <xf numFmtId="0" fontId="5" fillId="7" borderId="0" xfId="5" applyFont="1" applyFill="1" applyBorder="1" applyProtection="1"/>
    <xf numFmtId="0" fontId="1" fillId="0" borderId="0" xfId="3" applyBorder="1" applyProtection="1"/>
  </cellXfs>
  <cellStyles count="11">
    <cellStyle name="Default 1" xfId="2" xr:uid="{00000000-0005-0000-0000-000007000000}"/>
    <cellStyle name="Default 2" xfId="3" xr:uid="{00000000-0005-0000-0000-000008000000}"/>
    <cellStyle name="Excel Built-in Bad" xfId="8" xr:uid="{00000000-0005-0000-0000-00000D000000}"/>
    <cellStyle name="Excel Built-in Neutral" xfId="9" xr:uid="{00000000-0005-0000-0000-00000E000000}"/>
    <cellStyle name="Excel Built-in Warning Text" xfId="10" xr:uid="{00000000-0005-0000-0000-00000F000000}"/>
    <cellStyle name="Normal" xfId="0" builtinId="0"/>
    <cellStyle name="Normal 2" xfId="4" xr:uid="{00000000-0005-0000-0000-000009000000}"/>
    <cellStyle name="Standard" xfId="1" xr:uid="{00000000-0005-0000-0000-000006000000}"/>
    <cellStyle name="Standard 2" xfId="5" xr:uid="{00000000-0005-0000-0000-00000A000000}"/>
    <cellStyle name="Standard 3" xfId="6" xr:uid="{00000000-0005-0000-0000-00000B000000}"/>
    <cellStyle name="Standard 4" xfId="7" xr:uid="{00000000-0005-0000-0000-00000C000000}"/>
  </cellStyles>
  <dxfs count="1">
    <dxf>
      <font>
        <b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D1D1D1"/>
      <rgbColor rgb="FF0000FF"/>
      <rgbColor rgb="FFFFFF00"/>
      <rgbColor rgb="FFEE0056"/>
      <rgbColor rgb="FFB4C7DC"/>
      <rgbColor rgb="FF9C0006"/>
      <rgbColor rgb="FF1E6A39"/>
      <rgbColor rgb="FFFCE4D6"/>
      <rgbColor rgb="FF9A6401"/>
      <rgbColor rgb="FFFF4000"/>
      <rgbColor rgb="FF0F7054"/>
      <rgbColor rgb="FFCBCBCB"/>
      <rgbColor rgb="FF817F7F"/>
      <rgbColor rgb="FF9999CC"/>
      <rgbColor rgb="FF8D1D75"/>
      <rgbColor rgb="FFFFFFCC"/>
      <rgbColor rgb="FFDEEBF7"/>
      <rgbColor rgb="FFFBE3D6"/>
      <rgbColor rgb="FFED7DD7"/>
      <rgbColor rgb="FFA5A5A5"/>
      <rgbColor rgb="FFCCCCFF"/>
      <rgbColor rgb="FFFFF5CE"/>
      <rgbColor rgb="FFF4AF81"/>
      <rgbColor rgb="FFFFFD59"/>
      <rgbColor rgb="FFCCCCCC"/>
      <rgbColor rgb="FFFFC7CE"/>
      <rgbColor rgb="FFBF0000"/>
      <rgbColor rgb="FF00A933"/>
      <rgbColor rgb="FFE2F0D9"/>
      <rgbColor rgb="FF9DC3E6"/>
      <rgbColor rgb="FFD9F2D0"/>
      <rgbColor rgb="FFCCFFCC"/>
      <rgbColor rgb="FFFFEB9C"/>
      <rgbColor rgb="FF96CEE4"/>
      <rgbColor rgb="FFFFAA95"/>
      <rgbColor rgb="FFA7A6A7"/>
      <rgbColor rgb="FFFFCC99"/>
      <rgbColor rgb="FF6396CB"/>
      <rgbColor rgb="FF01B144"/>
      <rgbColor rgb="FF65AB3B"/>
      <rgbColor rgb="FFFFC000"/>
      <rgbColor rgb="FFFFB66C"/>
      <rgbColor rgb="FFFE7D01"/>
      <rgbColor rgb="FF6B5E9B"/>
      <rgbColor rgb="FFA4A4A4"/>
      <rgbColor rgb="FF002060"/>
      <rgbColor rgb="FF467886"/>
      <rgbColor rgb="FFE2EFD8"/>
      <rgbColor rgb="FFF2CFEE"/>
      <rgbColor rgb="FFCB6415"/>
      <rgbColor rgb="FF7030A0"/>
      <rgbColor rgb="FFD9D9D9"/>
      <rgbColor rgb="FF1437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9BD5"/>
  </sheetPr>
  <dimension ref="A1:I469"/>
  <sheetViews>
    <sheetView tabSelected="1" topLeftCell="B1" zoomScaleNormal="100" workbookViewId="0">
      <pane activePane="bottomRight" state="frozen"/>
      <selection activeCell="B2" sqref="B2"/>
    </sheetView>
  </sheetViews>
  <sheetFormatPr defaultColWidth="44.44140625" defaultRowHeight="16.2" customHeight="1" x14ac:dyDescent="0.25"/>
  <cols>
    <col min="1" max="1" width="3.77734375" style="1" customWidth="1"/>
    <col min="2" max="2" width="86" style="2" customWidth="1"/>
    <col min="3" max="3" width="67.33203125" style="2" customWidth="1"/>
    <col min="4" max="4" width="86" style="2" customWidth="1"/>
    <col min="5" max="5" width="13.6640625" style="1" customWidth="1"/>
    <col min="6" max="6" width="20.77734375" style="1" customWidth="1"/>
    <col min="7" max="7" width="25.21875" style="1" customWidth="1"/>
    <col min="8" max="8" width="18.6640625" style="2" customWidth="1"/>
    <col min="9" max="9" width="13" style="1" customWidth="1"/>
    <col min="10" max="16384" width="44.44140625" style="3"/>
  </cols>
  <sheetData>
    <row r="1" spans="1:9" ht="16.2" customHeight="1" x14ac:dyDescent="0.3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spans="1:9" ht="16.2" customHeight="1" x14ac:dyDescent="0.3">
      <c r="A2" s="9"/>
      <c r="B2" s="18" t="s">
        <v>17</v>
      </c>
      <c r="C2" s="15" t="s">
        <v>123</v>
      </c>
      <c r="D2" s="18" t="s">
        <v>124</v>
      </c>
      <c r="E2" s="6" t="str">
        <f t="shared" ref="E2:E47" si="0">_xlfn.TEXTBEFORE($C2,"_")</f>
        <v>tra</v>
      </c>
      <c r="F2" s="6" t="str">
        <f t="shared" ref="F2:F47" si="1">_xlfn.TEXTBEFORE(_xlfn.TEXTAFTER($C2,_xlfn.CONCAT(E2,"_")),"_")</f>
        <v>air</v>
      </c>
      <c r="G2" s="6" t="str">
        <f t="shared" ref="G2:G47" si="2">_xlfn.TEXTAFTER($C2,_xlfn.CONCAT(F2,"_"))</f>
        <v>fcev_pass_natio_hydrogen_0</v>
      </c>
      <c r="H2" s="7"/>
      <c r="I2" s="10" t="s">
        <v>26</v>
      </c>
    </row>
    <row r="3" spans="1:9" ht="16.2" customHeight="1" x14ac:dyDescent="0.3">
      <c r="A3" s="9"/>
      <c r="B3" s="7" t="s">
        <v>17</v>
      </c>
      <c r="C3" s="5" t="s">
        <v>125</v>
      </c>
      <c r="D3" s="7" t="s">
        <v>126</v>
      </c>
      <c r="E3" s="6" t="str">
        <f t="shared" si="0"/>
        <v>tra</v>
      </c>
      <c r="F3" s="6" t="str">
        <f t="shared" si="1"/>
        <v>air</v>
      </c>
      <c r="G3" s="6" t="str">
        <f t="shared" si="2"/>
        <v>fcev_pass_europ_hydrogen_0</v>
      </c>
      <c r="H3" s="7"/>
      <c r="I3" s="10" t="s">
        <v>26</v>
      </c>
    </row>
    <row r="4" spans="1:9" ht="16.2" customHeight="1" x14ac:dyDescent="0.3">
      <c r="A4" s="9"/>
      <c r="B4" s="7" t="s">
        <v>34</v>
      </c>
      <c r="C4" s="5" t="s">
        <v>127</v>
      </c>
      <c r="D4" s="7" t="s">
        <v>128</v>
      </c>
      <c r="E4" s="6" t="str">
        <f t="shared" si="0"/>
        <v>tra</v>
      </c>
      <c r="F4" s="6" t="str">
        <f t="shared" si="1"/>
        <v>air</v>
      </c>
      <c r="G4" s="6" t="str">
        <f t="shared" si="2"/>
        <v>ice_pass_natio_kerosene_0</v>
      </c>
      <c r="H4" s="7"/>
      <c r="I4" s="10" t="s">
        <v>26</v>
      </c>
    </row>
    <row r="5" spans="1:9" ht="16.2" customHeight="1" x14ac:dyDescent="0.3">
      <c r="A5" s="9"/>
      <c r="B5" s="7" t="s">
        <v>34</v>
      </c>
      <c r="C5" s="5" t="s">
        <v>129</v>
      </c>
      <c r="D5" s="7" t="s">
        <v>130</v>
      </c>
      <c r="E5" s="6" t="str">
        <f t="shared" si="0"/>
        <v>tra</v>
      </c>
      <c r="F5" s="6" t="str">
        <f t="shared" si="1"/>
        <v>air</v>
      </c>
      <c r="G5" s="6" t="str">
        <f t="shared" si="2"/>
        <v>ice_pass_europ_kerosene_0</v>
      </c>
      <c r="H5" s="7"/>
      <c r="I5" s="11"/>
    </row>
    <row r="6" spans="1:9" ht="16.2" customHeight="1" x14ac:dyDescent="0.3">
      <c r="A6" s="9"/>
      <c r="B6" s="7" t="s">
        <v>34</v>
      </c>
      <c r="C6" s="5" t="s">
        <v>131</v>
      </c>
      <c r="D6" s="7" t="s">
        <v>132</v>
      </c>
      <c r="E6" s="6" t="str">
        <f t="shared" si="0"/>
        <v>tra</v>
      </c>
      <c r="F6" s="6" t="str">
        <f t="shared" si="1"/>
        <v>air</v>
      </c>
      <c r="G6" s="6" t="str">
        <f t="shared" si="2"/>
        <v>ice_pass_inter_kerosene_0</v>
      </c>
      <c r="H6" s="7"/>
      <c r="I6" s="10" t="s">
        <v>122</v>
      </c>
    </row>
    <row r="7" spans="1:9" ht="16.2" customHeight="1" x14ac:dyDescent="0.3">
      <c r="A7" s="9"/>
      <c r="B7" s="7" t="s">
        <v>133</v>
      </c>
      <c r="C7" s="5" t="s">
        <v>134</v>
      </c>
      <c r="D7" s="7" t="s">
        <v>128</v>
      </c>
      <c r="E7" s="6" t="str">
        <f t="shared" si="0"/>
        <v>tra</v>
      </c>
      <c r="F7" s="6" t="str">
        <f t="shared" si="1"/>
        <v>air</v>
      </c>
      <c r="G7" s="6" t="str">
        <f t="shared" si="2"/>
        <v>hyb_pass_natio_kerosene_0</v>
      </c>
      <c r="H7" s="7"/>
      <c r="I7" s="10" t="s">
        <v>26</v>
      </c>
    </row>
    <row r="8" spans="1:9" ht="16.2" customHeight="1" x14ac:dyDescent="0.3">
      <c r="A8" s="9"/>
      <c r="B8" s="7" t="s">
        <v>133</v>
      </c>
      <c r="C8" s="5" t="s">
        <v>135</v>
      </c>
      <c r="D8" s="7" t="s">
        <v>130</v>
      </c>
      <c r="E8" s="6" t="str">
        <f t="shared" si="0"/>
        <v>tra</v>
      </c>
      <c r="F8" s="6" t="str">
        <f t="shared" si="1"/>
        <v>air</v>
      </c>
      <c r="G8" s="6" t="str">
        <f t="shared" si="2"/>
        <v>hyb_pass_europ_kerosene_0</v>
      </c>
      <c r="H8" s="7"/>
      <c r="I8" s="10" t="s">
        <v>26</v>
      </c>
    </row>
    <row r="9" spans="1:9" ht="16.2" customHeight="1" x14ac:dyDescent="0.3">
      <c r="A9" s="9"/>
      <c r="B9" s="7" t="s">
        <v>17</v>
      </c>
      <c r="C9" s="17" t="s">
        <v>136</v>
      </c>
      <c r="D9" s="7" t="s">
        <v>124</v>
      </c>
      <c r="E9" s="6" t="str">
        <f t="shared" si="0"/>
        <v>tra</v>
      </c>
      <c r="F9" s="6" t="str">
        <f t="shared" si="1"/>
        <v>air</v>
      </c>
      <c r="G9" s="6" t="str">
        <f t="shared" si="2"/>
        <v>ice_pass_natio_hydrogen_0</v>
      </c>
      <c r="H9" s="7"/>
      <c r="I9" s="10" t="s">
        <v>24</v>
      </c>
    </row>
    <row r="10" spans="1:9" ht="16.2" customHeight="1" x14ac:dyDescent="0.3">
      <c r="A10" s="9"/>
      <c r="B10" s="5" t="s">
        <v>17</v>
      </c>
      <c r="C10" s="5" t="s">
        <v>137</v>
      </c>
      <c r="D10" s="7" t="s">
        <v>126</v>
      </c>
      <c r="E10" s="6" t="str">
        <f t="shared" si="0"/>
        <v>tra</v>
      </c>
      <c r="F10" s="6" t="str">
        <f t="shared" si="1"/>
        <v>air</v>
      </c>
      <c r="G10" s="6" t="str">
        <f t="shared" si="2"/>
        <v>ice_pass_europ_hydrogen_0</v>
      </c>
      <c r="H10" s="7"/>
      <c r="I10" s="10" t="s">
        <v>26</v>
      </c>
    </row>
    <row r="11" spans="1:9" ht="16.2" customHeight="1" x14ac:dyDescent="0.3">
      <c r="A11" s="9"/>
      <c r="B11" s="7" t="s">
        <v>13</v>
      </c>
      <c r="C11" s="5" t="s">
        <v>138</v>
      </c>
      <c r="D11" s="7" t="s">
        <v>139</v>
      </c>
      <c r="E11" s="6" t="str">
        <f t="shared" si="0"/>
        <v>tra</v>
      </c>
      <c r="F11" s="6" t="str">
        <f t="shared" si="1"/>
        <v>rail</v>
      </c>
      <c r="G11" s="6" t="str">
        <f t="shared" si="2"/>
        <v>ice_pass_short_diesel_0</v>
      </c>
      <c r="H11" s="7"/>
      <c r="I11" s="10" t="s">
        <v>24</v>
      </c>
    </row>
    <row r="12" spans="1:9" ht="16.2" customHeight="1" x14ac:dyDescent="0.3">
      <c r="A12" s="9"/>
      <c r="B12" s="7" t="s">
        <v>13</v>
      </c>
      <c r="C12" s="17" t="s">
        <v>140</v>
      </c>
      <c r="D12" s="7" t="s">
        <v>141</v>
      </c>
      <c r="E12" s="6" t="str">
        <f t="shared" si="0"/>
        <v>tra</v>
      </c>
      <c r="F12" s="6" t="str">
        <f t="shared" si="1"/>
        <v>rail</v>
      </c>
      <c r="G12" s="6" t="str">
        <f t="shared" si="2"/>
        <v>ice_pass_long_diesel_0</v>
      </c>
      <c r="H12" s="7"/>
      <c r="I12" s="10" t="s">
        <v>24</v>
      </c>
    </row>
    <row r="13" spans="1:9" ht="16.2" customHeight="1" x14ac:dyDescent="0.3">
      <c r="A13" s="9"/>
      <c r="B13" s="7" t="s">
        <v>36</v>
      </c>
      <c r="C13" s="17" t="s">
        <v>142</v>
      </c>
      <c r="D13" s="7" t="s">
        <v>143</v>
      </c>
      <c r="E13" s="6" t="str">
        <f t="shared" si="0"/>
        <v>tra</v>
      </c>
      <c r="F13" s="6" t="str">
        <f t="shared" si="1"/>
        <v>rail</v>
      </c>
      <c r="G13" s="6" t="str">
        <f t="shared" si="2"/>
        <v>ice_pass_short_ethanol_0</v>
      </c>
      <c r="H13" s="7"/>
      <c r="I13" s="10" t="s">
        <v>26</v>
      </c>
    </row>
    <row r="14" spans="1:9" ht="16.2" customHeight="1" x14ac:dyDescent="0.3">
      <c r="A14" s="9"/>
      <c r="B14" s="7" t="s">
        <v>36</v>
      </c>
      <c r="C14" s="5" t="s">
        <v>144</v>
      </c>
      <c r="D14" s="7" t="s">
        <v>145</v>
      </c>
      <c r="E14" s="6" t="str">
        <f t="shared" si="0"/>
        <v>tra</v>
      </c>
      <c r="F14" s="6" t="str">
        <f t="shared" si="1"/>
        <v>rail</v>
      </c>
      <c r="G14" s="6" t="str">
        <f t="shared" si="2"/>
        <v>ice_pass_long_ethanol_0</v>
      </c>
      <c r="H14" s="7"/>
      <c r="I14" s="10" t="s">
        <v>26</v>
      </c>
    </row>
    <row r="15" spans="1:9" ht="16.2" customHeight="1" x14ac:dyDescent="0.3">
      <c r="A15" s="9"/>
      <c r="B15" s="7" t="s">
        <v>17</v>
      </c>
      <c r="C15" s="5" t="s">
        <v>146</v>
      </c>
      <c r="D15" s="7" t="s">
        <v>147</v>
      </c>
      <c r="E15" s="6" t="str">
        <f t="shared" si="0"/>
        <v>tra</v>
      </c>
      <c r="F15" s="6" t="str">
        <f t="shared" si="1"/>
        <v>rail</v>
      </c>
      <c r="G15" s="6" t="str">
        <f t="shared" si="2"/>
        <v>fcev_pass_short_hydrogen_0</v>
      </c>
      <c r="H15" s="7"/>
      <c r="I15" s="10" t="s">
        <v>26</v>
      </c>
    </row>
    <row r="16" spans="1:9" ht="16.2" customHeight="1" x14ac:dyDescent="0.3">
      <c r="A16" s="9"/>
      <c r="B16" s="7" t="s">
        <v>17</v>
      </c>
      <c r="C16" s="5" t="s">
        <v>148</v>
      </c>
      <c r="D16" s="7" t="s">
        <v>149</v>
      </c>
      <c r="E16" s="6" t="str">
        <f t="shared" si="0"/>
        <v>tra</v>
      </c>
      <c r="F16" s="6" t="str">
        <f t="shared" si="1"/>
        <v>rail</v>
      </c>
      <c r="G16" s="6" t="str">
        <f t="shared" si="2"/>
        <v>fcev_pass_long_hydrogen_0</v>
      </c>
      <c r="H16" s="7"/>
      <c r="I16" s="11"/>
    </row>
    <row r="17" spans="1:9" ht="16.2" customHeight="1" x14ac:dyDescent="0.3">
      <c r="A17" s="9"/>
      <c r="B17" s="7" t="s">
        <v>150</v>
      </c>
      <c r="C17" s="5" t="s">
        <v>151</v>
      </c>
      <c r="D17" s="7" t="s">
        <v>147</v>
      </c>
      <c r="E17" s="6" t="str">
        <f t="shared" si="0"/>
        <v>tra</v>
      </c>
      <c r="F17" s="6" t="str">
        <f t="shared" si="1"/>
        <v>rail</v>
      </c>
      <c r="G17" s="6" t="str">
        <f t="shared" si="2"/>
        <v>hyb_pass_short_hydrogen_0</v>
      </c>
      <c r="H17" s="7"/>
      <c r="I17" s="10" t="s">
        <v>122</v>
      </c>
    </row>
    <row r="18" spans="1:9" ht="16.2" customHeight="1" x14ac:dyDescent="0.3">
      <c r="A18" s="9"/>
      <c r="B18" s="7" t="s">
        <v>152</v>
      </c>
      <c r="C18" s="5" t="s">
        <v>153</v>
      </c>
      <c r="D18" s="7" t="s">
        <v>139</v>
      </c>
      <c r="E18" s="6" t="str">
        <f t="shared" si="0"/>
        <v>tra</v>
      </c>
      <c r="F18" s="6" t="str">
        <f t="shared" si="1"/>
        <v>rail</v>
      </c>
      <c r="G18" s="6" t="str">
        <f t="shared" si="2"/>
        <v>hyb_pass_short_diesel_0</v>
      </c>
      <c r="H18" s="7"/>
      <c r="I18" s="10" t="s">
        <v>26</v>
      </c>
    </row>
    <row r="19" spans="1:9" ht="16.2" customHeight="1" x14ac:dyDescent="0.3">
      <c r="A19" s="9"/>
      <c r="B19" s="7" t="s">
        <v>15</v>
      </c>
      <c r="C19" s="5" t="s">
        <v>154</v>
      </c>
      <c r="D19" s="7" t="s">
        <v>147</v>
      </c>
      <c r="E19" s="6" t="str">
        <f t="shared" si="0"/>
        <v>tra</v>
      </c>
      <c r="F19" s="6" t="str">
        <f t="shared" si="1"/>
        <v>rail</v>
      </c>
      <c r="G19" s="6" t="str">
        <f t="shared" si="2"/>
        <v>oev_pass_short_0</v>
      </c>
      <c r="H19" s="7"/>
      <c r="I19" s="10" t="s">
        <v>26</v>
      </c>
    </row>
    <row r="20" spans="1:9" ht="16.2" customHeight="1" x14ac:dyDescent="0.3">
      <c r="A20" s="9"/>
      <c r="B20" s="7" t="s">
        <v>15</v>
      </c>
      <c r="C20" s="5" t="s">
        <v>155</v>
      </c>
      <c r="D20" s="7" t="s">
        <v>149</v>
      </c>
      <c r="E20" s="6" t="str">
        <f t="shared" si="0"/>
        <v>tra</v>
      </c>
      <c r="F20" s="6" t="str">
        <f t="shared" si="1"/>
        <v>rail</v>
      </c>
      <c r="G20" s="6" t="str">
        <f t="shared" si="2"/>
        <v>oev_pass_long_0</v>
      </c>
      <c r="H20" s="7"/>
      <c r="I20" s="10" t="s">
        <v>24</v>
      </c>
    </row>
    <row r="21" spans="1:9" ht="16.2" customHeight="1" x14ac:dyDescent="0.3">
      <c r="A21" s="9"/>
      <c r="B21" s="7" t="s">
        <v>15</v>
      </c>
      <c r="C21" s="5" t="s">
        <v>156</v>
      </c>
      <c r="D21" s="7" t="s">
        <v>147</v>
      </c>
      <c r="E21" s="6" t="str">
        <f t="shared" si="0"/>
        <v>tra</v>
      </c>
      <c r="F21" s="6" t="str">
        <f t="shared" si="1"/>
        <v>rail</v>
      </c>
      <c r="G21" s="6" t="str">
        <f t="shared" si="2"/>
        <v>bemu_pass_short_0</v>
      </c>
      <c r="H21" s="7"/>
      <c r="I21" s="10" t="s">
        <v>26</v>
      </c>
    </row>
    <row r="22" spans="1:9" ht="16.2" customHeight="1" x14ac:dyDescent="0.3">
      <c r="A22" s="9"/>
      <c r="B22" s="7" t="s">
        <v>15</v>
      </c>
      <c r="C22" s="5" t="s">
        <v>157</v>
      </c>
      <c r="D22" s="7" t="s">
        <v>149</v>
      </c>
      <c r="E22" s="6" t="str">
        <f t="shared" si="0"/>
        <v>tra</v>
      </c>
      <c r="F22" s="6" t="str">
        <f t="shared" si="1"/>
        <v>rail</v>
      </c>
      <c r="G22" s="6" t="str">
        <f t="shared" si="2"/>
        <v>bemu_pass_long_0</v>
      </c>
      <c r="H22" s="7"/>
      <c r="I22" s="10" t="s">
        <v>24</v>
      </c>
    </row>
    <row r="23" spans="1:9" ht="16.2" customHeight="1" x14ac:dyDescent="0.3">
      <c r="A23" s="9"/>
      <c r="B23" s="7" t="s">
        <v>15</v>
      </c>
      <c r="C23" s="5" t="s">
        <v>158</v>
      </c>
      <c r="D23" s="7" t="s">
        <v>159</v>
      </c>
      <c r="E23" s="6" t="str">
        <f t="shared" si="0"/>
        <v>tra</v>
      </c>
      <c r="F23" s="6" t="str">
        <f t="shared" si="1"/>
        <v>rail</v>
      </c>
      <c r="G23" s="6" t="str">
        <f t="shared" si="2"/>
        <v>oev_frei_long_0</v>
      </c>
      <c r="H23" s="7"/>
      <c r="I23" s="10" t="s">
        <v>24</v>
      </c>
    </row>
    <row r="24" spans="1:9" ht="16.2" customHeight="1" x14ac:dyDescent="0.3">
      <c r="A24" s="9"/>
      <c r="B24" s="7" t="s">
        <v>17</v>
      </c>
      <c r="C24" s="5" t="s">
        <v>160</v>
      </c>
      <c r="D24" s="7" t="s">
        <v>161</v>
      </c>
      <c r="E24" s="6" t="str">
        <f t="shared" si="0"/>
        <v>tra</v>
      </c>
      <c r="F24" s="6" t="str">
        <f t="shared" si="1"/>
        <v>rail</v>
      </c>
      <c r="G24" s="6" t="str">
        <f t="shared" si="2"/>
        <v>fcev_frei_short_hydrogen_0</v>
      </c>
      <c r="H24" s="7"/>
      <c r="I24" s="10" t="s">
        <v>26</v>
      </c>
    </row>
    <row r="25" spans="1:9" ht="16.2" customHeight="1" x14ac:dyDescent="0.3">
      <c r="A25" s="9"/>
      <c r="B25" s="7" t="s">
        <v>17</v>
      </c>
      <c r="C25" s="5" t="s">
        <v>162</v>
      </c>
      <c r="D25" s="7" t="s">
        <v>159</v>
      </c>
      <c r="E25" s="6" t="str">
        <f t="shared" si="0"/>
        <v>tra</v>
      </c>
      <c r="F25" s="6" t="str">
        <f t="shared" si="1"/>
        <v>rail</v>
      </c>
      <c r="G25" s="6" t="str">
        <f t="shared" si="2"/>
        <v>fcev_frei_long_hydrogen_0</v>
      </c>
      <c r="H25" s="7"/>
      <c r="I25" s="10" t="s">
        <v>26</v>
      </c>
    </row>
    <row r="26" spans="1:9" ht="16.2" customHeight="1" x14ac:dyDescent="0.3">
      <c r="A26" s="9"/>
      <c r="B26" s="7" t="s">
        <v>13</v>
      </c>
      <c r="C26" s="5" t="s">
        <v>163</v>
      </c>
      <c r="D26" s="7" t="s">
        <v>164</v>
      </c>
      <c r="E26" s="6" t="str">
        <f t="shared" si="0"/>
        <v>tra</v>
      </c>
      <c r="F26" s="6" t="str">
        <f t="shared" si="1"/>
        <v>rail</v>
      </c>
      <c r="G26" s="6" t="str">
        <f t="shared" si="2"/>
        <v>ice_frei_short_diesel_0</v>
      </c>
      <c r="H26" s="7"/>
      <c r="I26" s="10" t="s">
        <v>26</v>
      </c>
    </row>
    <row r="27" spans="1:9" ht="16.2" customHeight="1" x14ac:dyDescent="0.3">
      <c r="A27" s="9"/>
      <c r="B27" s="7" t="s">
        <v>13</v>
      </c>
      <c r="C27" s="5" t="s">
        <v>165</v>
      </c>
      <c r="D27" s="7" t="s">
        <v>166</v>
      </c>
      <c r="E27" s="6" t="str">
        <f t="shared" si="0"/>
        <v>tra</v>
      </c>
      <c r="F27" s="6" t="str">
        <f t="shared" si="1"/>
        <v>rail</v>
      </c>
      <c r="G27" s="6" t="str">
        <f t="shared" si="2"/>
        <v>ice_frei_long_diesel_0</v>
      </c>
      <c r="H27" s="7"/>
      <c r="I27" s="10" t="s">
        <v>24</v>
      </c>
    </row>
    <row r="28" spans="1:9" ht="16.2" customHeight="1" x14ac:dyDescent="0.3">
      <c r="A28" s="9"/>
      <c r="B28" s="7" t="s">
        <v>13</v>
      </c>
      <c r="C28" s="5" t="s">
        <v>167</v>
      </c>
      <c r="D28" s="7" t="s">
        <v>168</v>
      </c>
      <c r="E28" s="6" t="str">
        <f t="shared" si="0"/>
        <v>tra</v>
      </c>
      <c r="F28" s="6" t="str">
        <f t="shared" si="1"/>
        <v>rail</v>
      </c>
      <c r="G28" s="6" t="str">
        <f t="shared" si="2"/>
        <v>ice_frei_short_ammonia_0</v>
      </c>
      <c r="H28" s="7"/>
      <c r="I28" s="10" t="s">
        <v>26</v>
      </c>
    </row>
    <row r="29" spans="1:9" ht="16.2" customHeight="1" x14ac:dyDescent="0.3">
      <c r="A29" s="9"/>
      <c r="B29" s="7" t="s">
        <v>36</v>
      </c>
      <c r="C29" s="5" t="s">
        <v>169</v>
      </c>
      <c r="D29" s="7" t="s">
        <v>168</v>
      </c>
      <c r="E29" s="6" t="str">
        <f t="shared" si="0"/>
        <v>tra</v>
      </c>
      <c r="F29" s="6" t="str">
        <f t="shared" si="1"/>
        <v>rail</v>
      </c>
      <c r="G29" s="6" t="str">
        <f t="shared" si="2"/>
        <v>ice_frei_short_ethanol_0</v>
      </c>
      <c r="H29" s="7"/>
      <c r="I29" s="10" t="s">
        <v>24</v>
      </c>
    </row>
    <row r="30" spans="1:9" ht="16.2" customHeight="1" x14ac:dyDescent="0.3">
      <c r="A30" s="9"/>
      <c r="B30" s="7" t="s">
        <v>36</v>
      </c>
      <c r="C30" s="5" t="s">
        <v>170</v>
      </c>
      <c r="D30" s="7" t="s">
        <v>171</v>
      </c>
      <c r="E30" s="6" t="str">
        <f t="shared" si="0"/>
        <v>tra</v>
      </c>
      <c r="F30" s="6" t="str">
        <f t="shared" si="1"/>
        <v>rail</v>
      </c>
      <c r="G30" s="6" t="str">
        <f t="shared" si="2"/>
        <v>ice_frei_long_ethanol_0</v>
      </c>
      <c r="H30" s="7"/>
      <c r="I30" s="10" t="s">
        <v>122</v>
      </c>
    </row>
    <row r="31" spans="1:9" ht="16.2" customHeight="1" x14ac:dyDescent="0.3">
      <c r="A31" s="9"/>
      <c r="B31" s="7" t="s">
        <v>39</v>
      </c>
      <c r="C31" s="5" t="s">
        <v>172</v>
      </c>
      <c r="D31" s="7" t="s">
        <v>171</v>
      </c>
      <c r="E31" s="6" t="str">
        <f t="shared" si="0"/>
        <v>tra</v>
      </c>
      <c r="F31" s="6" t="str">
        <f t="shared" si="1"/>
        <v>rail</v>
      </c>
      <c r="G31" s="6" t="str">
        <f t="shared" si="2"/>
        <v>ice_frei_long_ammonia_0</v>
      </c>
      <c r="H31" s="7"/>
      <c r="I31" s="10" t="s">
        <v>26</v>
      </c>
    </row>
    <row r="32" spans="1:9" ht="16.2" customHeight="1" x14ac:dyDescent="0.3">
      <c r="A32" s="9"/>
      <c r="B32" s="7" t="s">
        <v>17</v>
      </c>
      <c r="C32" s="5" t="s">
        <v>173</v>
      </c>
      <c r="D32" s="7" t="s">
        <v>174</v>
      </c>
      <c r="E32" s="6" t="str">
        <f t="shared" si="0"/>
        <v>tra</v>
      </c>
      <c r="F32" s="6" t="str">
        <f t="shared" si="1"/>
        <v>water</v>
      </c>
      <c r="G32" s="6" t="str">
        <f t="shared" si="2"/>
        <v>fcev_frei_hydrogen_0</v>
      </c>
      <c r="H32" s="7"/>
      <c r="I32" s="10" t="s">
        <v>26</v>
      </c>
    </row>
    <row r="33" spans="1:9" ht="16.2" customHeight="1" x14ac:dyDescent="0.3">
      <c r="A33" s="9"/>
      <c r="B33" s="7" t="s">
        <v>11</v>
      </c>
      <c r="C33" s="5" t="s">
        <v>175</v>
      </c>
      <c r="D33" s="7" t="s">
        <v>176</v>
      </c>
      <c r="E33" s="6" t="str">
        <f t="shared" si="0"/>
        <v>tra</v>
      </c>
      <c r="F33" s="6" t="str">
        <f t="shared" si="1"/>
        <v>water</v>
      </c>
      <c r="G33" s="6" t="str">
        <f t="shared" si="2"/>
        <v>ice_frei_lng_0</v>
      </c>
      <c r="H33" s="7"/>
      <c r="I33" s="10" t="s">
        <v>26</v>
      </c>
    </row>
    <row r="34" spans="1:9" ht="16.2" customHeight="1" x14ac:dyDescent="0.3">
      <c r="A34" s="9"/>
      <c r="B34" s="7" t="s">
        <v>35</v>
      </c>
      <c r="C34" s="5" t="s">
        <v>177</v>
      </c>
      <c r="D34" s="7" t="s">
        <v>178</v>
      </c>
      <c r="E34" s="6" t="str">
        <f t="shared" si="0"/>
        <v>tra</v>
      </c>
      <c r="F34" s="6" t="str">
        <f t="shared" si="1"/>
        <v>water</v>
      </c>
      <c r="G34" s="6" t="str">
        <f t="shared" si="2"/>
        <v>ice_frei_methanol_0</v>
      </c>
      <c r="H34" s="7"/>
      <c r="I34" s="10" t="s">
        <v>24</v>
      </c>
    </row>
    <row r="35" spans="1:9" ht="16.2" customHeight="1" x14ac:dyDescent="0.3">
      <c r="A35" s="9"/>
      <c r="B35" s="7" t="s">
        <v>36</v>
      </c>
      <c r="C35" s="17" t="s">
        <v>179</v>
      </c>
      <c r="D35" s="7" t="s">
        <v>178</v>
      </c>
      <c r="E35" s="6" t="str">
        <f t="shared" si="0"/>
        <v>tra</v>
      </c>
      <c r="F35" s="6" t="str">
        <f t="shared" si="1"/>
        <v>water</v>
      </c>
      <c r="G35" s="6" t="str">
        <f t="shared" si="2"/>
        <v>ice_frei_ethanol_0</v>
      </c>
      <c r="H35" s="7"/>
      <c r="I35" s="10" t="s">
        <v>24</v>
      </c>
    </row>
    <row r="36" spans="1:9" ht="16.2" customHeight="1" x14ac:dyDescent="0.3">
      <c r="A36" s="9"/>
      <c r="B36" s="7" t="s">
        <v>39</v>
      </c>
      <c r="C36" s="5" t="s">
        <v>180</v>
      </c>
      <c r="D36" s="7" t="s">
        <v>174</v>
      </c>
      <c r="E36" s="6" t="str">
        <f t="shared" si="0"/>
        <v>tra</v>
      </c>
      <c r="F36" s="6" t="str">
        <f t="shared" si="1"/>
        <v>water</v>
      </c>
      <c r="G36" s="6" t="str">
        <f t="shared" si="2"/>
        <v>ice_frei_ammonia_0</v>
      </c>
      <c r="H36" s="7"/>
      <c r="I36" s="10" t="s">
        <v>26</v>
      </c>
    </row>
    <row r="37" spans="1:9" ht="16.2" customHeight="1" x14ac:dyDescent="0.3">
      <c r="A37" s="9"/>
      <c r="B37" s="7" t="s">
        <v>13</v>
      </c>
      <c r="C37" s="17" t="s">
        <v>181</v>
      </c>
      <c r="D37" s="7" t="s">
        <v>176</v>
      </c>
      <c r="E37" s="6" t="str">
        <f t="shared" si="0"/>
        <v>tra</v>
      </c>
      <c r="F37" s="6" t="str">
        <f t="shared" si="1"/>
        <v>water</v>
      </c>
      <c r="G37" s="6" t="str">
        <f t="shared" si="2"/>
        <v>ice_frei_diesel_0</v>
      </c>
      <c r="H37" s="7"/>
      <c r="I37" s="10" t="s">
        <v>24</v>
      </c>
    </row>
    <row r="38" spans="1:9" ht="16.2" customHeight="1" x14ac:dyDescent="0.3">
      <c r="A38" s="9"/>
      <c r="B38" s="7" t="s">
        <v>17</v>
      </c>
      <c r="C38" s="17" t="s">
        <v>182</v>
      </c>
      <c r="D38" s="7" t="s">
        <v>174</v>
      </c>
      <c r="E38" s="6" t="str">
        <f t="shared" si="0"/>
        <v>tra</v>
      </c>
      <c r="F38" s="6" t="str">
        <f t="shared" si="1"/>
        <v>water</v>
      </c>
      <c r="G38" s="6" t="str">
        <f t="shared" si="2"/>
        <v>ice_frei_hydrogen_0</v>
      </c>
      <c r="H38" s="7"/>
      <c r="I38" s="10" t="s">
        <v>24</v>
      </c>
    </row>
    <row r="39" spans="1:9" ht="16.2" customHeight="1" x14ac:dyDescent="0.3">
      <c r="A39" s="9"/>
      <c r="B39" s="7" t="s">
        <v>17</v>
      </c>
      <c r="C39" s="5" t="s">
        <v>183</v>
      </c>
      <c r="D39" s="7" t="s">
        <v>184</v>
      </c>
      <c r="E39" s="6" t="str">
        <f t="shared" si="0"/>
        <v>tra</v>
      </c>
      <c r="F39" s="6" t="str">
        <f t="shared" si="1"/>
        <v>road</v>
      </c>
      <c r="G39" s="6" t="str">
        <f t="shared" si="2"/>
        <v>bus_fcev_pass_short_hydrogen_0</v>
      </c>
      <c r="H39" s="7"/>
      <c r="I39" s="10" t="s">
        <v>26</v>
      </c>
    </row>
    <row r="40" spans="1:9" ht="16.2" customHeight="1" x14ac:dyDescent="0.3">
      <c r="A40" s="9"/>
      <c r="B40" s="7" t="s">
        <v>17</v>
      </c>
      <c r="C40" s="5" t="s">
        <v>185</v>
      </c>
      <c r="D40" s="7" t="s">
        <v>186</v>
      </c>
      <c r="E40" s="6" t="str">
        <f t="shared" si="0"/>
        <v>tra</v>
      </c>
      <c r="F40" s="6" t="str">
        <f t="shared" si="1"/>
        <v>road</v>
      </c>
      <c r="G40" s="6" t="str">
        <f t="shared" si="2"/>
        <v>bus_fcev_pass_long_hydrogen_0</v>
      </c>
      <c r="H40" s="7"/>
      <c r="I40" s="10" t="s">
        <v>26</v>
      </c>
    </row>
    <row r="41" spans="1:9" ht="16.2" customHeight="1" x14ac:dyDescent="0.3">
      <c r="A41" s="9"/>
      <c r="B41" s="7" t="s">
        <v>152</v>
      </c>
      <c r="C41" s="5" t="s">
        <v>187</v>
      </c>
      <c r="D41" s="7" t="s">
        <v>188</v>
      </c>
      <c r="E41" s="6" t="str">
        <f t="shared" si="0"/>
        <v>tra</v>
      </c>
      <c r="F41" s="6" t="str">
        <f t="shared" si="1"/>
        <v>road</v>
      </c>
      <c r="G41" s="6" t="str">
        <f t="shared" si="2"/>
        <v>bus_hyb_pass_short_diesel_0</v>
      </c>
      <c r="H41" s="7"/>
      <c r="I41" s="10" t="s">
        <v>24</v>
      </c>
    </row>
    <row r="42" spans="1:9" ht="16.2" customHeight="1" x14ac:dyDescent="0.3">
      <c r="A42" s="9"/>
      <c r="B42" s="7" t="s">
        <v>15</v>
      </c>
      <c r="C42" s="5" t="s">
        <v>189</v>
      </c>
      <c r="D42" s="7" t="s">
        <v>186</v>
      </c>
      <c r="E42" s="6" t="str">
        <f t="shared" si="0"/>
        <v>tra</v>
      </c>
      <c r="F42" s="6" t="str">
        <f t="shared" si="1"/>
        <v>road</v>
      </c>
      <c r="G42" s="6" t="str">
        <f t="shared" si="2"/>
        <v>bus_bev_pass_long_0</v>
      </c>
      <c r="H42" s="7"/>
      <c r="I42" s="10" t="s">
        <v>122</v>
      </c>
    </row>
    <row r="43" spans="1:9" ht="16.2" customHeight="1" x14ac:dyDescent="0.3">
      <c r="A43" s="9"/>
      <c r="B43" s="7" t="s">
        <v>15</v>
      </c>
      <c r="C43" s="5" t="s">
        <v>190</v>
      </c>
      <c r="D43" s="7" t="s">
        <v>184</v>
      </c>
      <c r="E43" s="6" t="str">
        <f t="shared" si="0"/>
        <v>tra</v>
      </c>
      <c r="F43" s="6" t="str">
        <f t="shared" si="1"/>
        <v>road</v>
      </c>
      <c r="G43" s="6" t="str">
        <f t="shared" si="2"/>
        <v>bus_bev_pass_short_0</v>
      </c>
      <c r="H43" s="7"/>
      <c r="I43" s="10" t="s">
        <v>26</v>
      </c>
    </row>
    <row r="44" spans="1:9" ht="16.2" customHeight="1" x14ac:dyDescent="0.3">
      <c r="A44" s="9"/>
      <c r="B44" s="7" t="s">
        <v>13</v>
      </c>
      <c r="C44" s="5" t="s">
        <v>191</v>
      </c>
      <c r="D44" s="7" t="s">
        <v>188</v>
      </c>
      <c r="E44" s="6" t="str">
        <f t="shared" si="0"/>
        <v>tra</v>
      </c>
      <c r="F44" s="6" t="str">
        <f t="shared" si="1"/>
        <v>road</v>
      </c>
      <c r="G44" s="6" t="str">
        <f t="shared" si="2"/>
        <v>bus_ice_pass_short_diesel_0</v>
      </c>
      <c r="H44" s="7"/>
      <c r="I44" s="10" t="s">
        <v>26</v>
      </c>
    </row>
    <row r="45" spans="1:9" ht="16.2" customHeight="1" x14ac:dyDescent="0.3">
      <c r="A45" s="9"/>
      <c r="B45" s="7" t="s">
        <v>13</v>
      </c>
      <c r="C45" s="5" t="s">
        <v>192</v>
      </c>
      <c r="D45" s="7" t="s">
        <v>193</v>
      </c>
      <c r="E45" s="6" t="str">
        <f t="shared" si="0"/>
        <v>tra</v>
      </c>
      <c r="F45" s="6" t="str">
        <f t="shared" si="1"/>
        <v>road</v>
      </c>
      <c r="G45" s="6" t="str">
        <f t="shared" si="2"/>
        <v>bus_ice_pass_long_diesel_0</v>
      </c>
      <c r="H45" s="7"/>
      <c r="I45" s="10" t="s">
        <v>26</v>
      </c>
    </row>
    <row r="46" spans="1:9" ht="16.2" customHeight="1" x14ac:dyDescent="0.3">
      <c r="A46" s="9"/>
      <c r="B46" s="7" t="s">
        <v>17</v>
      </c>
      <c r="C46" s="5" t="s">
        <v>194</v>
      </c>
      <c r="D46" s="7" t="s">
        <v>195</v>
      </c>
      <c r="E46" s="6" t="str">
        <f t="shared" si="0"/>
        <v>tra</v>
      </c>
      <c r="F46" s="6" t="str">
        <f t="shared" si="1"/>
        <v>road</v>
      </c>
      <c r="G46" s="6" t="str">
        <f t="shared" si="2"/>
        <v>lcar_fcev_pass_hydrogen_0</v>
      </c>
      <c r="H46" s="7"/>
      <c r="I46" s="10" t="s">
        <v>24</v>
      </c>
    </row>
    <row r="47" spans="1:9" ht="16.2" customHeight="1" x14ac:dyDescent="0.3">
      <c r="A47" s="9"/>
      <c r="B47" s="7" t="s">
        <v>196</v>
      </c>
      <c r="C47" s="5" t="s">
        <v>197</v>
      </c>
      <c r="D47" s="7" t="s">
        <v>198</v>
      </c>
      <c r="E47" s="6" t="str">
        <f t="shared" si="0"/>
        <v>tra</v>
      </c>
      <c r="F47" s="6" t="str">
        <f t="shared" si="1"/>
        <v>road</v>
      </c>
      <c r="G47" s="6" t="str">
        <f t="shared" si="2"/>
        <v>lcar_bev_pass_battery_infl_uni_0</v>
      </c>
      <c r="H47" s="7"/>
      <c r="I47" s="11"/>
    </row>
    <row r="48" spans="1:9" ht="16.2" customHeight="1" x14ac:dyDescent="0.3">
      <c r="A48" s="9"/>
      <c r="B48" s="7" t="s">
        <v>196</v>
      </c>
      <c r="C48" s="5" t="s">
        <v>199</v>
      </c>
      <c r="D48" s="7" t="s">
        <v>198</v>
      </c>
      <c r="E48" s="6" t="str">
        <f t="shared" ref="E48:E111" si="3">_xlfn.TEXTBEFORE($C48,"_")</f>
        <v>tra</v>
      </c>
      <c r="F48" s="6" t="str">
        <f t="shared" ref="F48:F111" si="4">_xlfn.TEXTBEFORE(_xlfn.TEXTAFTER($C48,_xlfn.CONCAT(E48,"_")),"_")</f>
        <v>road</v>
      </c>
      <c r="G48" s="6" t="str">
        <f t="shared" ref="G48:G111" si="5">_xlfn.TEXTAFTER($C48,_xlfn.CONCAT(F48,"_"))</f>
        <v>lcar_bev_pass_battery_flex_uni_0</v>
      </c>
      <c r="H48" s="7"/>
      <c r="I48" s="11"/>
    </row>
    <row r="49" spans="1:9" ht="16.2" customHeight="1" x14ac:dyDescent="0.3">
      <c r="A49" s="9"/>
      <c r="B49" s="7" t="s">
        <v>196</v>
      </c>
      <c r="C49" s="5" t="s">
        <v>200</v>
      </c>
      <c r="D49" s="7" t="s">
        <v>198</v>
      </c>
      <c r="E49" s="6" t="str">
        <f t="shared" si="3"/>
        <v>tra</v>
      </c>
      <c r="F49" s="6" t="str">
        <f t="shared" si="4"/>
        <v>road</v>
      </c>
      <c r="G49" s="6" t="str">
        <f t="shared" si="5"/>
        <v>lcar_bev_pass_battery_flex_bi_0</v>
      </c>
      <c r="H49" s="7"/>
      <c r="I49" s="11"/>
    </row>
    <row r="50" spans="1:9" ht="16.2" customHeight="1" x14ac:dyDescent="0.3">
      <c r="A50" s="9"/>
      <c r="B50" s="7" t="s">
        <v>15</v>
      </c>
      <c r="C50" s="5" t="s">
        <v>201</v>
      </c>
      <c r="D50" s="7" t="s">
        <v>196</v>
      </c>
      <c r="E50" s="6" t="str">
        <f t="shared" si="3"/>
        <v>tra</v>
      </c>
      <c r="F50" s="6" t="str">
        <f t="shared" si="4"/>
        <v>road</v>
      </c>
      <c r="G50" s="6" t="str">
        <f t="shared" si="5"/>
        <v>lcar_bev_pass_wallbox_infl_uni_g2v_0</v>
      </c>
      <c r="H50" s="7"/>
      <c r="I50" s="11"/>
    </row>
    <row r="51" spans="1:9" ht="16.2" customHeight="1" x14ac:dyDescent="0.3">
      <c r="A51" s="9"/>
      <c r="B51" s="7" t="s">
        <v>15</v>
      </c>
      <c r="C51" s="5" t="s">
        <v>202</v>
      </c>
      <c r="D51" s="7" t="s">
        <v>196</v>
      </c>
      <c r="E51" s="6" t="str">
        <f t="shared" si="3"/>
        <v>tra</v>
      </c>
      <c r="F51" s="6" t="str">
        <f t="shared" si="4"/>
        <v>road</v>
      </c>
      <c r="G51" s="6" t="str">
        <f t="shared" si="5"/>
        <v>lcar_bev_pass_wallbox_flex_uni_g2v_0</v>
      </c>
      <c r="H51" s="7"/>
      <c r="I51" s="11"/>
    </row>
    <row r="52" spans="1:9" ht="16.2" customHeight="1" x14ac:dyDescent="0.3">
      <c r="A52" s="9"/>
      <c r="B52" s="7" t="s">
        <v>15</v>
      </c>
      <c r="C52" s="17" t="s">
        <v>203</v>
      </c>
      <c r="D52" s="7" t="s">
        <v>196</v>
      </c>
      <c r="E52" s="6" t="str">
        <f t="shared" si="3"/>
        <v>tra</v>
      </c>
      <c r="F52" s="6" t="str">
        <f t="shared" si="4"/>
        <v>road</v>
      </c>
      <c r="G52" s="6" t="str">
        <f t="shared" si="5"/>
        <v>lcar_bev_pass_wallbox_flex_bi_g2v_0</v>
      </c>
      <c r="H52" s="7"/>
      <c r="I52" s="11"/>
    </row>
    <row r="53" spans="1:9" ht="16.2" customHeight="1" x14ac:dyDescent="0.3">
      <c r="A53" s="9"/>
      <c r="B53" s="7" t="s">
        <v>198</v>
      </c>
      <c r="C53" s="17" t="s">
        <v>204</v>
      </c>
      <c r="D53" s="7" t="s">
        <v>15</v>
      </c>
      <c r="E53" s="6" t="str">
        <f t="shared" si="3"/>
        <v>tra</v>
      </c>
      <c r="F53" s="6" t="str">
        <f t="shared" si="4"/>
        <v>road</v>
      </c>
      <c r="G53" s="6" t="str">
        <f t="shared" si="5"/>
        <v>lcar_bev_pass_wallbox_flex_bi_v2g_0</v>
      </c>
      <c r="H53" s="7"/>
      <c r="I53" s="11"/>
    </row>
    <row r="54" spans="1:9" ht="16.2" customHeight="1" x14ac:dyDescent="0.3">
      <c r="A54" s="9"/>
      <c r="B54" s="7" t="s">
        <v>198</v>
      </c>
      <c r="C54" s="5" t="s">
        <v>205</v>
      </c>
      <c r="D54" s="7" t="s">
        <v>195</v>
      </c>
      <c r="E54" s="6" t="str">
        <f t="shared" si="3"/>
        <v>tra</v>
      </c>
      <c r="F54" s="6" t="str">
        <f t="shared" si="4"/>
        <v>road</v>
      </c>
      <c r="G54" s="6" t="str">
        <f t="shared" si="5"/>
        <v>lcar_bev_pass_engine_infl_uni_0</v>
      </c>
      <c r="H54" s="7"/>
      <c r="I54" s="11"/>
    </row>
    <row r="55" spans="1:9" ht="16.2" customHeight="1" x14ac:dyDescent="0.3">
      <c r="A55" s="9"/>
      <c r="B55" s="7" t="s">
        <v>198</v>
      </c>
      <c r="C55" s="5" t="s">
        <v>206</v>
      </c>
      <c r="D55" s="7" t="s">
        <v>195</v>
      </c>
      <c r="E55" s="6" t="str">
        <f t="shared" si="3"/>
        <v>tra</v>
      </c>
      <c r="F55" s="6" t="str">
        <f t="shared" si="4"/>
        <v>road</v>
      </c>
      <c r="G55" s="6" t="str">
        <f t="shared" si="5"/>
        <v>lcar_bev_pass_engine_flex_uni_0</v>
      </c>
      <c r="H55" s="7"/>
      <c r="I55" s="11"/>
    </row>
    <row r="56" spans="1:9" ht="16.2" customHeight="1" x14ac:dyDescent="0.3">
      <c r="A56" s="9"/>
      <c r="B56" s="7" t="s">
        <v>198</v>
      </c>
      <c r="C56" s="17" t="s">
        <v>207</v>
      </c>
      <c r="D56" s="7" t="s">
        <v>195</v>
      </c>
      <c r="E56" s="6" t="str">
        <f t="shared" si="3"/>
        <v>tra</v>
      </c>
      <c r="F56" s="6" t="str">
        <f t="shared" si="4"/>
        <v>road</v>
      </c>
      <c r="G56" s="6" t="str">
        <f t="shared" si="5"/>
        <v>lcar_bev_pass_engine_flex_bi_0</v>
      </c>
      <c r="H56" s="7"/>
      <c r="I56" s="11"/>
    </row>
    <row r="57" spans="1:9" ht="16.2" customHeight="1" x14ac:dyDescent="0.3">
      <c r="A57" s="9"/>
      <c r="B57" s="7" t="s">
        <v>208</v>
      </c>
      <c r="C57" s="17" t="s">
        <v>209</v>
      </c>
      <c r="D57" s="7" t="s">
        <v>210</v>
      </c>
      <c r="E57" s="6" t="str">
        <f t="shared" si="3"/>
        <v>tra</v>
      </c>
      <c r="F57" s="6" t="str">
        <f t="shared" si="4"/>
        <v>road</v>
      </c>
      <c r="G57" s="6" t="str">
        <f t="shared" si="5"/>
        <v>lcar_hyb_pass_gasoline_0</v>
      </c>
      <c r="H57" s="7"/>
      <c r="I57" s="10" t="s">
        <v>26</v>
      </c>
    </row>
    <row r="58" spans="1:9" ht="16.2" customHeight="1" x14ac:dyDescent="0.3">
      <c r="A58" s="9"/>
      <c r="B58" s="7" t="s">
        <v>152</v>
      </c>
      <c r="C58" s="5" t="s">
        <v>211</v>
      </c>
      <c r="D58" s="7" t="s">
        <v>210</v>
      </c>
      <c r="E58" s="6" t="str">
        <f t="shared" si="3"/>
        <v>tra</v>
      </c>
      <c r="F58" s="6" t="str">
        <f t="shared" si="4"/>
        <v>road</v>
      </c>
      <c r="G58" s="6" t="str">
        <f t="shared" si="5"/>
        <v>lcar_hyb_pass_diesel_0</v>
      </c>
      <c r="H58" s="7"/>
      <c r="I58" s="10" t="s">
        <v>24</v>
      </c>
    </row>
    <row r="59" spans="1:9" ht="16.2" customHeight="1" x14ac:dyDescent="0.3">
      <c r="A59" s="9"/>
      <c r="B59" s="7" t="s">
        <v>17</v>
      </c>
      <c r="C59" s="5" t="s">
        <v>212</v>
      </c>
      <c r="D59" s="7" t="s">
        <v>195</v>
      </c>
      <c r="E59" s="6" t="str">
        <f t="shared" si="3"/>
        <v>tra</v>
      </c>
      <c r="F59" s="6" t="str">
        <f t="shared" si="4"/>
        <v>road</v>
      </c>
      <c r="G59" s="6" t="str">
        <f t="shared" si="5"/>
        <v>lcar_ice_pass_hydrogen_0</v>
      </c>
      <c r="H59" s="7"/>
      <c r="I59" s="10" t="s">
        <v>24</v>
      </c>
    </row>
    <row r="60" spans="1:9" ht="16.2" customHeight="1" x14ac:dyDescent="0.3">
      <c r="A60" s="9"/>
      <c r="B60" s="7" t="s">
        <v>35</v>
      </c>
      <c r="C60" s="5" t="s">
        <v>213</v>
      </c>
      <c r="D60" s="7" t="s">
        <v>214</v>
      </c>
      <c r="E60" s="6" t="str">
        <f t="shared" si="3"/>
        <v>tra</v>
      </c>
      <c r="F60" s="6" t="str">
        <f t="shared" si="4"/>
        <v>road</v>
      </c>
      <c r="G60" s="6" t="str">
        <f t="shared" si="5"/>
        <v>lcar_ice_pass_methanol_0</v>
      </c>
      <c r="H60" s="7"/>
      <c r="I60" s="10" t="s">
        <v>26</v>
      </c>
    </row>
    <row r="61" spans="1:9" ht="16.2" customHeight="1" x14ac:dyDescent="0.3">
      <c r="A61" s="9"/>
      <c r="B61" s="7" t="s">
        <v>27</v>
      </c>
      <c r="C61" s="5" t="s">
        <v>215</v>
      </c>
      <c r="D61" s="7" t="s">
        <v>210</v>
      </c>
      <c r="E61" s="6" t="str">
        <f t="shared" si="3"/>
        <v>tra</v>
      </c>
      <c r="F61" s="6" t="str">
        <f t="shared" si="4"/>
        <v>road</v>
      </c>
      <c r="G61" s="6" t="str">
        <f t="shared" si="5"/>
        <v>lcar_ice_pass_cng_0</v>
      </c>
      <c r="H61" s="7"/>
      <c r="I61" s="10" t="s">
        <v>24</v>
      </c>
    </row>
    <row r="62" spans="1:9" ht="16.2" customHeight="1" x14ac:dyDescent="0.3">
      <c r="A62" s="9"/>
      <c r="B62" s="7" t="s">
        <v>38</v>
      </c>
      <c r="C62" s="5" t="s">
        <v>216</v>
      </c>
      <c r="D62" s="7" t="s">
        <v>210</v>
      </c>
      <c r="E62" s="6" t="str">
        <f t="shared" si="3"/>
        <v>tra</v>
      </c>
      <c r="F62" s="6" t="str">
        <f t="shared" si="4"/>
        <v>road</v>
      </c>
      <c r="G62" s="6" t="str">
        <f t="shared" si="5"/>
        <v>lcar_ice_pass_lpg_0</v>
      </c>
      <c r="H62" s="7"/>
      <c r="I62" s="11"/>
    </row>
    <row r="63" spans="1:9" ht="16.2" customHeight="1" x14ac:dyDescent="0.3">
      <c r="A63" s="9"/>
      <c r="B63" s="7" t="s">
        <v>30</v>
      </c>
      <c r="C63" s="5" t="s">
        <v>217</v>
      </c>
      <c r="D63" s="7" t="s">
        <v>210</v>
      </c>
      <c r="E63" s="6" t="str">
        <f t="shared" si="3"/>
        <v>tra</v>
      </c>
      <c r="F63" s="6" t="str">
        <f t="shared" si="4"/>
        <v>road</v>
      </c>
      <c r="G63" s="6" t="str">
        <f t="shared" si="5"/>
        <v>lcar_ice_pass_gasoline_0</v>
      </c>
      <c r="H63" s="7"/>
      <c r="I63" s="10" t="s">
        <v>26</v>
      </c>
    </row>
    <row r="64" spans="1:9" ht="16.2" customHeight="1" x14ac:dyDescent="0.3">
      <c r="A64" s="9"/>
      <c r="B64" s="7" t="s">
        <v>13</v>
      </c>
      <c r="C64" s="17" t="s">
        <v>218</v>
      </c>
      <c r="D64" s="7" t="s">
        <v>210</v>
      </c>
      <c r="E64" s="6" t="str">
        <f t="shared" si="3"/>
        <v>tra</v>
      </c>
      <c r="F64" s="6" t="str">
        <f t="shared" si="4"/>
        <v>road</v>
      </c>
      <c r="G64" s="6" t="str">
        <f t="shared" si="5"/>
        <v>lcar_ice_pass_diesel_0</v>
      </c>
      <c r="H64" s="7"/>
      <c r="I64" s="10" t="s">
        <v>26</v>
      </c>
    </row>
    <row r="65" spans="1:9" ht="16.2" customHeight="1" x14ac:dyDescent="0.3">
      <c r="A65" s="9"/>
      <c r="B65" s="7" t="s">
        <v>219</v>
      </c>
      <c r="C65" s="5" t="s">
        <v>220</v>
      </c>
      <c r="D65" s="7" t="s">
        <v>210</v>
      </c>
      <c r="E65" s="6" t="str">
        <f t="shared" si="3"/>
        <v>tra</v>
      </c>
      <c r="F65" s="6" t="str">
        <f t="shared" si="4"/>
        <v>road</v>
      </c>
      <c r="G65" s="6" t="str">
        <f t="shared" si="5"/>
        <v>lcar_ice_pass_flex_0</v>
      </c>
      <c r="H65" s="7"/>
      <c r="I65" s="10" t="s">
        <v>24</v>
      </c>
    </row>
    <row r="66" spans="1:9" ht="16.2" customHeight="1" x14ac:dyDescent="0.3">
      <c r="A66" s="9"/>
      <c r="B66" s="7" t="s">
        <v>17</v>
      </c>
      <c r="C66" s="5" t="s">
        <v>221</v>
      </c>
      <c r="D66" s="7" t="s">
        <v>222</v>
      </c>
      <c r="E66" s="6" t="str">
        <f t="shared" si="3"/>
        <v>tra</v>
      </c>
      <c r="F66" s="6" t="str">
        <f t="shared" si="4"/>
        <v>road</v>
      </c>
      <c r="G66" s="6" t="str">
        <f t="shared" si="5"/>
        <v>mcar_fcev_pass_hydrogen_0</v>
      </c>
      <c r="H66" s="7"/>
      <c r="I66" s="16"/>
    </row>
    <row r="67" spans="1:9" ht="16.2" customHeight="1" x14ac:dyDescent="0.3">
      <c r="A67" s="9"/>
      <c r="B67" s="7" t="s">
        <v>196</v>
      </c>
      <c r="C67" s="5" t="s">
        <v>223</v>
      </c>
      <c r="D67" s="7" t="s">
        <v>198</v>
      </c>
      <c r="E67" s="6" t="str">
        <f t="shared" si="3"/>
        <v>tra</v>
      </c>
      <c r="F67" s="6" t="str">
        <f t="shared" si="4"/>
        <v>road</v>
      </c>
      <c r="G67" s="6" t="str">
        <f t="shared" si="5"/>
        <v>mcar_bev_pass_battery_infl_uni_0</v>
      </c>
      <c r="H67" s="7"/>
      <c r="I67" s="10" t="s">
        <v>24</v>
      </c>
    </row>
    <row r="68" spans="1:9" ht="16.2" customHeight="1" x14ac:dyDescent="0.3">
      <c r="A68" s="9"/>
      <c r="B68" s="7" t="s">
        <v>196</v>
      </c>
      <c r="C68" s="5" t="s">
        <v>224</v>
      </c>
      <c r="D68" s="7" t="s">
        <v>198</v>
      </c>
      <c r="E68" s="6" t="str">
        <f t="shared" si="3"/>
        <v>tra</v>
      </c>
      <c r="F68" s="6" t="str">
        <f t="shared" si="4"/>
        <v>road</v>
      </c>
      <c r="G68" s="6" t="str">
        <f t="shared" si="5"/>
        <v>mcar_bev_pass_battery_flex_uni_0</v>
      </c>
      <c r="H68" s="7"/>
      <c r="I68" s="11"/>
    </row>
    <row r="69" spans="1:9" ht="16.2" customHeight="1" x14ac:dyDescent="0.3">
      <c r="A69" s="9"/>
      <c r="B69" s="7" t="s">
        <v>196</v>
      </c>
      <c r="C69" s="5" t="s">
        <v>225</v>
      </c>
      <c r="D69" s="7" t="s">
        <v>198</v>
      </c>
      <c r="E69" s="6" t="str">
        <f t="shared" si="3"/>
        <v>tra</v>
      </c>
      <c r="F69" s="6" t="str">
        <f t="shared" si="4"/>
        <v>road</v>
      </c>
      <c r="G69" s="6" t="str">
        <f t="shared" si="5"/>
        <v>mcar_bev_pass_battery_flex_bi_0</v>
      </c>
      <c r="H69" s="7"/>
      <c r="I69" s="11"/>
    </row>
    <row r="70" spans="1:9" ht="16.2" customHeight="1" x14ac:dyDescent="0.3">
      <c r="A70" s="9"/>
      <c r="B70" s="7" t="s">
        <v>15</v>
      </c>
      <c r="C70" s="5" t="s">
        <v>226</v>
      </c>
      <c r="D70" s="7" t="s">
        <v>196</v>
      </c>
      <c r="E70" s="6" t="str">
        <f t="shared" si="3"/>
        <v>tra</v>
      </c>
      <c r="F70" s="6" t="str">
        <f t="shared" si="4"/>
        <v>road</v>
      </c>
      <c r="G70" s="6" t="str">
        <f t="shared" si="5"/>
        <v>mcar_bev_pass_wallbox_infl_uni_g2v_0</v>
      </c>
      <c r="H70" s="7"/>
      <c r="I70" s="11"/>
    </row>
    <row r="71" spans="1:9" ht="16.2" customHeight="1" x14ac:dyDescent="0.3">
      <c r="A71" s="9"/>
      <c r="B71" s="7" t="s">
        <v>15</v>
      </c>
      <c r="C71" s="5" t="s">
        <v>227</v>
      </c>
      <c r="D71" s="7" t="s">
        <v>196</v>
      </c>
      <c r="E71" s="6" t="str">
        <f t="shared" si="3"/>
        <v>tra</v>
      </c>
      <c r="F71" s="6" t="str">
        <f t="shared" si="4"/>
        <v>road</v>
      </c>
      <c r="G71" s="6" t="str">
        <f t="shared" si="5"/>
        <v>mcar_bev_pass_wallbox_flex_uni_g2v_0</v>
      </c>
      <c r="H71" s="7"/>
      <c r="I71" s="11"/>
    </row>
    <row r="72" spans="1:9" ht="16.2" customHeight="1" x14ac:dyDescent="0.3">
      <c r="A72" s="9"/>
      <c r="B72" s="7" t="s">
        <v>15</v>
      </c>
      <c r="C72" s="17" t="s">
        <v>228</v>
      </c>
      <c r="D72" s="7" t="s">
        <v>196</v>
      </c>
      <c r="E72" s="6" t="str">
        <f t="shared" si="3"/>
        <v>tra</v>
      </c>
      <c r="F72" s="6" t="str">
        <f t="shared" si="4"/>
        <v>road</v>
      </c>
      <c r="G72" s="6" t="str">
        <f t="shared" si="5"/>
        <v>mcar_bev_pass_wallbox_flex_bi_g2v_0</v>
      </c>
      <c r="H72" s="7"/>
      <c r="I72" s="11"/>
    </row>
    <row r="73" spans="1:9" ht="16.2" customHeight="1" x14ac:dyDescent="0.3">
      <c r="A73" s="9"/>
      <c r="B73" s="7" t="s">
        <v>198</v>
      </c>
      <c r="C73" s="17" t="s">
        <v>229</v>
      </c>
      <c r="D73" s="7" t="s">
        <v>15</v>
      </c>
      <c r="E73" s="6" t="str">
        <f t="shared" si="3"/>
        <v>tra</v>
      </c>
      <c r="F73" s="6" t="str">
        <f t="shared" si="4"/>
        <v>road</v>
      </c>
      <c r="G73" s="6" t="str">
        <f t="shared" si="5"/>
        <v>mcar_bev_pass_wallbox_flex_bi_v2g_0</v>
      </c>
      <c r="H73" s="7"/>
      <c r="I73" s="11"/>
    </row>
    <row r="74" spans="1:9" ht="16.2" customHeight="1" x14ac:dyDescent="0.3">
      <c r="A74" s="9"/>
      <c r="B74" s="7" t="s">
        <v>198</v>
      </c>
      <c r="C74" s="5" t="s">
        <v>230</v>
      </c>
      <c r="D74" s="7" t="s">
        <v>222</v>
      </c>
      <c r="E74" s="6" t="str">
        <f t="shared" si="3"/>
        <v>tra</v>
      </c>
      <c r="F74" s="6" t="str">
        <f t="shared" si="4"/>
        <v>road</v>
      </c>
      <c r="G74" s="6" t="str">
        <f t="shared" si="5"/>
        <v>mcar_bev_pass_engine_infl_uni_0</v>
      </c>
      <c r="H74" s="7"/>
      <c r="I74" s="11"/>
    </row>
    <row r="75" spans="1:9" ht="16.2" customHeight="1" x14ac:dyDescent="0.3">
      <c r="A75" s="9"/>
      <c r="B75" s="7" t="s">
        <v>198</v>
      </c>
      <c r="C75" s="5" t="s">
        <v>231</v>
      </c>
      <c r="D75" s="7" t="s">
        <v>222</v>
      </c>
      <c r="E75" s="6" t="str">
        <f t="shared" si="3"/>
        <v>tra</v>
      </c>
      <c r="F75" s="6" t="str">
        <f t="shared" si="4"/>
        <v>road</v>
      </c>
      <c r="G75" s="6" t="str">
        <f t="shared" si="5"/>
        <v>mcar_bev_pass_engine_flex_uni_0</v>
      </c>
      <c r="H75" s="7"/>
      <c r="I75" s="11"/>
    </row>
    <row r="76" spans="1:9" ht="16.2" customHeight="1" x14ac:dyDescent="0.3">
      <c r="A76" s="9"/>
      <c r="B76" s="7" t="s">
        <v>198</v>
      </c>
      <c r="C76" s="17" t="s">
        <v>232</v>
      </c>
      <c r="D76" s="7" t="s">
        <v>222</v>
      </c>
      <c r="E76" s="6" t="str">
        <f t="shared" si="3"/>
        <v>tra</v>
      </c>
      <c r="F76" s="6" t="str">
        <f t="shared" si="4"/>
        <v>road</v>
      </c>
      <c r="G76" s="6" t="str">
        <f t="shared" si="5"/>
        <v>mcar_bev_pass_engine_flex_bi_0</v>
      </c>
      <c r="H76" s="7"/>
      <c r="I76" s="11"/>
    </row>
    <row r="77" spans="1:9" ht="16.2" customHeight="1" x14ac:dyDescent="0.3">
      <c r="A77" s="9"/>
      <c r="B77" s="7" t="s">
        <v>208</v>
      </c>
      <c r="C77" s="5" t="s">
        <v>233</v>
      </c>
      <c r="D77" s="7" t="s">
        <v>234</v>
      </c>
      <c r="E77" s="6" t="str">
        <f t="shared" si="3"/>
        <v>tra</v>
      </c>
      <c r="F77" s="6" t="str">
        <f t="shared" si="4"/>
        <v>road</v>
      </c>
      <c r="G77" s="6" t="str">
        <f t="shared" si="5"/>
        <v>mcar_hyb_pass_gasoline_0</v>
      </c>
      <c r="H77" s="7"/>
      <c r="I77" s="10" t="s">
        <v>24</v>
      </c>
    </row>
    <row r="78" spans="1:9" ht="16.2" customHeight="1" x14ac:dyDescent="0.3">
      <c r="A78" s="9"/>
      <c r="B78" s="7" t="s">
        <v>152</v>
      </c>
      <c r="C78" s="5" t="s">
        <v>235</v>
      </c>
      <c r="D78" s="7" t="s">
        <v>234</v>
      </c>
      <c r="E78" s="6" t="str">
        <f t="shared" si="3"/>
        <v>tra</v>
      </c>
      <c r="F78" s="6" t="str">
        <f t="shared" si="4"/>
        <v>road</v>
      </c>
      <c r="G78" s="6" t="str">
        <f t="shared" si="5"/>
        <v>mcar_hyb_pass_diesel_0</v>
      </c>
      <c r="H78" s="7"/>
      <c r="I78" s="10" t="s">
        <v>26</v>
      </c>
    </row>
    <row r="79" spans="1:9" ht="16.2" customHeight="1" x14ac:dyDescent="0.3">
      <c r="A79" s="9"/>
      <c r="B79" s="7" t="s">
        <v>17</v>
      </c>
      <c r="C79" s="5" t="s">
        <v>236</v>
      </c>
      <c r="D79" s="7" t="s">
        <v>222</v>
      </c>
      <c r="E79" s="6" t="str">
        <f t="shared" si="3"/>
        <v>tra</v>
      </c>
      <c r="F79" s="6" t="str">
        <f t="shared" si="4"/>
        <v>road</v>
      </c>
      <c r="G79" s="6" t="str">
        <f t="shared" si="5"/>
        <v>mcar_ice_pass_hydrogen_0</v>
      </c>
      <c r="H79" s="7"/>
      <c r="I79" s="11"/>
    </row>
    <row r="80" spans="1:9" ht="16.2" customHeight="1" x14ac:dyDescent="0.3">
      <c r="A80" s="9"/>
      <c r="B80" s="7" t="s">
        <v>35</v>
      </c>
      <c r="C80" s="5" t="s">
        <v>237</v>
      </c>
      <c r="D80" s="7" t="s">
        <v>238</v>
      </c>
      <c r="E80" s="6" t="str">
        <f t="shared" si="3"/>
        <v>tra</v>
      </c>
      <c r="F80" s="6" t="str">
        <f t="shared" si="4"/>
        <v>road</v>
      </c>
      <c r="G80" s="6" t="str">
        <f t="shared" si="5"/>
        <v>mcar_ice_pass_methanol_0</v>
      </c>
      <c r="H80" s="7"/>
      <c r="I80" s="10" t="s">
        <v>26</v>
      </c>
    </row>
    <row r="81" spans="1:9" ht="16.2" customHeight="1" x14ac:dyDescent="0.3">
      <c r="A81" s="9"/>
      <c r="B81" s="7" t="s">
        <v>27</v>
      </c>
      <c r="C81" s="17" t="s">
        <v>239</v>
      </c>
      <c r="D81" s="7" t="s">
        <v>234</v>
      </c>
      <c r="E81" s="6" t="str">
        <f t="shared" si="3"/>
        <v>tra</v>
      </c>
      <c r="F81" s="6" t="str">
        <f t="shared" si="4"/>
        <v>road</v>
      </c>
      <c r="G81" s="6" t="str">
        <f t="shared" si="5"/>
        <v>mcar_ice_pass_cng_0</v>
      </c>
      <c r="H81" s="7"/>
      <c r="I81" s="10" t="s">
        <v>26</v>
      </c>
    </row>
    <row r="82" spans="1:9" ht="16.2" customHeight="1" x14ac:dyDescent="0.3">
      <c r="A82" s="9"/>
      <c r="B82" s="7" t="s">
        <v>38</v>
      </c>
      <c r="C82" s="5" t="s">
        <v>240</v>
      </c>
      <c r="D82" s="7" t="s">
        <v>234</v>
      </c>
      <c r="E82" s="6" t="str">
        <f t="shared" si="3"/>
        <v>tra</v>
      </c>
      <c r="F82" s="6" t="str">
        <f t="shared" si="4"/>
        <v>road</v>
      </c>
      <c r="G82" s="6" t="str">
        <f t="shared" si="5"/>
        <v>mcar_ice_pass_lpg_0</v>
      </c>
      <c r="H82" s="7"/>
      <c r="I82" s="10" t="s">
        <v>26</v>
      </c>
    </row>
    <row r="83" spans="1:9" ht="16.2" customHeight="1" x14ac:dyDescent="0.3">
      <c r="A83" s="9"/>
      <c r="B83" s="7" t="s">
        <v>30</v>
      </c>
      <c r="C83" s="5" t="s">
        <v>241</v>
      </c>
      <c r="D83" s="7" t="s">
        <v>234</v>
      </c>
      <c r="E83" s="6" t="str">
        <f t="shared" si="3"/>
        <v>tra</v>
      </c>
      <c r="F83" s="6" t="str">
        <f t="shared" si="4"/>
        <v>road</v>
      </c>
      <c r="G83" s="6" t="str">
        <f t="shared" si="5"/>
        <v>mcar_ice_pass_gasoline_0</v>
      </c>
      <c r="H83" s="7"/>
      <c r="I83" s="11"/>
    </row>
    <row r="84" spans="1:9" ht="16.2" customHeight="1" x14ac:dyDescent="0.3">
      <c r="A84" s="9"/>
      <c r="B84" s="7" t="s">
        <v>13</v>
      </c>
      <c r="C84" s="17" t="s">
        <v>242</v>
      </c>
      <c r="D84" s="7" t="s">
        <v>234</v>
      </c>
      <c r="E84" s="6" t="str">
        <f t="shared" si="3"/>
        <v>tra</v>
      </c>
      <c r="F84" s="6" t="str">
        <f t="shared" si="4"/>
        <v>road</v>
      </c>
      <c r="G84" s="6" t="str">
        <f t="shared" si="5"/>
        <v>mcar_ice_pass_diesel_0</v>
      </c>
      <c r="H84" s="7"/>
      <c r="I84" s="11"/>
    </row>
    <row r="85" spans="1:9" ht="16.2" customHeight="1" x14ac:dyDescent="0.3">
      <c r="A85" s="9"/>
      <c r="B85" s="7" t="s">
        <v>219</v>
      </c>
      <c r="C85" s="17" t="s">
        <v>243</v>
      </c>
      <c r="D85" s="7" t="s">
        <v>234</v>
      </c>
      <c r="E85" s="6" t="str">
        <f t="shared" si="3"/>
        <v>tra</v>
      </c>
      <c r="F85" s="6" t="str">
        <f t="shared" si="4"/>
        <v>road</v>
      </c>
      <c r="G85" s="6" t="str">
        <f t="shared" si="5"/>
        <v>mcar_ice_pass_flex_0</v>
      </c>
      <c r="H85" s="7"/>
      <c r="I85" s="11"/>
    </row>
    <row r="86" spans="1:9" ht="16.2" customHeight="1" x14ac:dyDescent="0.3">
      <c r="A86" s="9"/>
      <c r="B86" s="7" t="s">
        <v>17</v>
      </c>
      <c r="C86" s="5" t="s">
        <v>244</v>
      </c>
      <c r="D86" s="7" t="s">
        <v>245</v>
      </c>
      <c r="E86" s="6" t="str">
        <f t="shared" si="3"/>
        <v>tra</v>
      </c>
      <c r="F86" s="6" t="str">
        <f t="shared" si="4"/>
        <v>road</v>
      </c>
      <c r="G86" s="6" t="str">
        <f t="shared" si="5"/>
        <v>hcar_fcev_pass_hydrogen_0</v>
      </c>
      <c r="H86" s="7"/>
      <c r="I86" s="11"/>
    </row>
    <row r="87" spans="1:9" ht="16.2" customHeight="1" x14ac:dyDescent="0.3">
      <c r="A87" s="9"/>
      <c r="B87" s="7" t="s">
        <v>196</v>
      </c>
      <c r="C87" s="5" t="s">
        <v>246</v>
      </c>
      <c r="D87" s="7" t="s">
        <v>198</v>
      </c>
      <c r="E87" s="6" t="str">
        <f t="shared" si="3"/>
        <v>tra</v>
      </c>
      <c r="F87" s="6" t="str">
        <f t="shared" si="4"/>
        <v>road</v>
      </c>
      <c r="G87" s="6" t="str">
        <f t="shared" si="5"/>
        <v>hcar_bev_pass_battery_infl_uni_0</v>
      </c>
      <c r="H87" s="7"/>
      <c r="I87" s="11"/>
    </row>
    <row r="88" spans="1:9" ht="16.2" customHeight="1" x14ac:dyDescent="0.3">
      <c r="A88" s="9"/>
      <c r="B88" s="7" t="s">
        <v>196</v>
      </c>
      <c r="C88" s="5" t="s">
        <v>247</v>
      </c>
      <c r="D88" s="7" t="s">
        <v>198</v>
      </c>
      <c r="E88" s="6" t="str">
        <f t="shared" si="3"/>
        <v>tra</v>
      </c>
      <c r="F88" s="6" t="str">
        <f t="shared" si="4"/>
        <v>road</v>
      </c>
      <c r="G88" s="6" t="str">
        <f t="shared" si="5"/>
        <v>hcar_bev_pass_battery_flex_uni_0</v>
      </c>
      <c r="H88" s="7"/>
      <c r="I88" s="11"/>
    </row>
    <row r="89" spans="1:9" ht="16.2" customHeight="1" x14ac:dyDescent="0.3">
      <c r="A89" s="9"/>
      <c r="B89" s="7" t="s">
        <v>196</v>
      </c>
      <c r="C89" s="5" t="s">
        <v>248</v>
      </c>
      <c r="D89" s="7" t="s">
        <v>198</v>
      </c>
      <c r="E89" s="6" t="str">
        <f t="shared" si="3"/>
        <v>tra</v>
      </c>
      <c r="F89" s="6" t="str">
        <f t="shared" si="4"/>
        <v>road</v>
      </c>
      <c r="G89" s="6" t="str">
        <f t="shared" si="5"/>
        <v>hcar_bev_pass_battery_flex_bi_0</v>
      </c>
      <c r="H89" s="7"/>
      <c r="I89" s="11"/>
    </row>
    <row r="90" spans="1:9" ht="16.2" customHeight="1" x14ac:dyDescent="0.3">
      <c r="A90" s="9"/>
      <c r="B90" s="7" t="s">
        <v>15</v>
      </c>
      <c r="C90" s="5" t="s">
        <v>249</v>
      </c>
      <c r="D90" s="7" t="s">
        <v>196</v>
      </c>
      <c r="E90" s="6" t="str">
        <f t="shared" si="3"/>
        <v>tra</v>
      </c>
      <c r="F90" s="6" t="str">
        <f t="shared" si="4"/>
        <v>road</v>
      </c>
      <c r="G90" s="6" t="str">
        <f t="shared" si="5"/>
        <v>hcar_bev_pass_wallbox_infl_uni_g2v_0</v>
      </c>
      <c r="H90" s="7"/>
      <c r="I90" s="11"/>
    </row>
    <row r="91" spans="1:9" ht="16.2" customHeight="1" x14ac:dyDescent="0.3">
      <c r="A91" s="9"/>
      <c r="B91" s="7" t="s">
        <v>15</v>
      </c>
      <c r="C91" s="5" t="s">
        <v>250</v>
      </c>
      <c r="D91" s="7" t="s">
        <v>196</v>
      </c>
      <c r="E91" s="6" t="str">
        <f t="shared" si="3"/>
        <v>tra</v>
      </c>
      <c r="F91" s="6" t="str">
        <f t="shared" si="4"/>
        <v>road</v>
      </c>
      <c r="G91" s="6" t="str">
        <f t="shared" si="5"/>
        <v>hcar_bev_pass_wallbox_flex_uni_g2v_0</v>
      </c>
      <c r="H91" s="7"/>
      <c r="I91" s="11"/>
    </row>
    <row r="92" spans="1:9" ht="16.2" customHeight="1" x14ac:dyDescent="0.3">
      <c r="A92" s="9"/>
      <c r="B92" s="7" t="s">
        <v>15</v>
      </c>
      <c r="C92" s="5" t="s">
        <v>251</v>
      </c>
      <c r="D92" s="7" t="s">
        <v>196</v>
      </c>
      <c r="E92" s="6" t="str">
        <f t="shared" si="3"/>
        <v>tra</v>
      </c>
      <c r="F92" s="6" t="str">
        <f t="shared" si="4"/>
        <v>road</v>
      </c>
      <c r="G92" s="6" t="str">
        <f t="shared" si="5"/>
        <v>hcar_bev_pass_wallbox_flex_bi_g2v_0</v>
      </c>
      <c r="H92" s="7"/>
      <c r="I92" s="11"/>
    </row>
    <row r="93" spans="1:9" ht="16.2" customHeight="1" x14ac:dyDescent="0.3">
      <c r="A93" s="9"/>
      <c r="B93" s="7" t="s">
        <v>198</v>
      </c>
      <c r="C93" s="5" t="s">
        <v>252</v>
      </c>
      <c r="D93" s="7" t="s">
        <v>15</v>
      </c>
      <c r="E93" s="6" t="str">
        <f t="shared" si="3"/>
        <v>tra</v>
      </c>
      <c r="F93" s="6" t="str">
        <f t="shared" si="4"/>
        <v>road</v>
      </c>
      <c r="G93" s="6" t="str">
        <f t="shared" si="5"/>
        <v>hcar_bev_pass_wallbox_flex_bi_v2g_0</v>
      </c>
      <c r="H93" s="7"/>
      <c r="I93" s="11"/>
    </row>
    <row r="94" spans="1:9" ht="16.2" customHeight="1" x14ac:dyDescent="0.3">
      <c r="A94" s="9"/>
      <c r="B94" s="7" t="s">
        <v>198</v>
      </c>
      <c r="C94" s="5" t="s">
        <v>253</v>
      </c>
      <c r="D94" s="7" t="s">
        <v>245</v>
      </c>
      <c r="E94" s="6" t="str">
        <f t="shared" si="3"/>
        <v>tra</v>
      </c>
      <c r="F94" s="6" t="str">
        <f t="shared" si="4"/>
        <v>road</v>
      </c>
      <c r="G94" s="6" t="str">
        <f t="shared" si="5"/>
        <v>hcar_bev_pass_engine_infl_uni_0</v>
      </c>
      <c r="H94" s="7"/>
      <c r="I94" s="11"/>
    </row>
    <row r="95" spans="1:9" ht="16.2" customHeight="1" x14ac:dyDescent="0.3">
      <c r="A95" s="9"/>
      <c r="B95" s="7" t="s">
        <v>198</v>
      </c>
      <c r="C95" s="5" t="s">
        <v>254</v>
      </c>
      <c r="D95" s="7" t="s">
        <v>245</v>
      </c>
      <c r="E95" s="6" t="str">
        <f t="shared" si="3"/>
        <v>tra</v>
      </c>
      <c r="F95" s="6" t="str">
        <f t="shared" si="4"/>
        <v>road</v>
      </c>
      <c r="G95" s="6" t="str">
        <f t="shared" si="5"/>
        <v>hcar_bev_pass_engine_flex_uni_0</v>
      </c>
      <c r="H95" s="7"/>
      <c r="I95" s="11"/>
    </row>
    <row r="96" spans="1:9" ht="16.2" customHeight="1" x14ac:dyDescent="0.3">
      <c r="A96" s="9"/>
      <c r="B96" s="7" t="s">
        <v>198</v>
      </c>
      <c r="C96" s="5" t="s">
        <v>255</v>
      </c>
      <c r="D96" s="7" t="s">
        <v>245</v>
      </c>
      <c r="E96" s="6" t="str">
        <f t="shared" si="3"/>
        <v>tra</v>
      </c>
      <c r="F96" s="6" t="str">
        <f t="shared" si="4"/>
        <v>road</v>
      </c>
      <c r="G96" s="6" t="str">
        <f t="shared" si="5"/>
        <v>hcar_bev_pass_engine_flex_bi_0</v>
      </c>
      <c r="H96" s="7"/>
      <c r="I96" s="11"/>
    </row>
    <row r="97" spans="1:9" ht="16.2" customHeight="1" x14ac:dyDescent="0.3">
      <c r="A97" s="9"/>
      <c r="B97" s="7" t="s">
        <v>208</v>
      </c>
      <c r="C97" s="5" t="s">
        <v>256</v>
      </c>
      <c r="D97" s="7" t="s">
        <v>257</v>
      </c>
      <c r="E97" s="6" t="str">
        <f t="shared" si="3"/>
        <v>tra</v>
      </c>
      <c r="F97" s="6" t="str">
        <f t="shared" si="4"/>
        <v>road</v>
      </c>
      <c r="G97" s="6" t="str">
        <f t="shared" si="5"/>
        <v>hcar_hyb_pass_gasoline_0</v>
      </c>
      <c r="H97" s="7"/>
      <c r="I97" s="10" t="s">
        <v>26</v>
      </c>
    </row>
    <row r="98" spans="1:9" ht="16.2" customHeight="1" x14ac:dyDescent="0.3">
      <c r="A98" s="9"/>
      <c r="B98" s="7" t="s">
        <v>152</v>
      </c>
      <c r="C98" s="5" t="s">
        <v>258</v>
      </c>
      <c r="D98" s="7" t="s">
        <v>257</v>
      </c>
      <c r="E98" s="6" t="str">
        <f t="shared" si="3"/>
        <v>tra</v>
      </c>
      <c r="F98" s="6" t="str">
        <f t="shared" si="4"/>
        <v>road</v>
      </c>
      <c r="G98" s="6" t="str">
        <f t="shared" si="5"/>
        <v>hcar_hyb_pass_diesel_0</v>
      </c>
      <c r="H98" s="7"/>
      <c r="I98" s="11"/>
    </row>
    <row r="99" spans="1:9" ht="16.2" customHeight="1" x14ac:dyDescent="0.3">
      <c r="A99" s="9"/>
      <c r="B99" s="7" t="s">
        <v>17</v>
      </c>
      <c r="C99" s="5" t="s">
        <v>259</v>
      </c>
      <c r="D99" s="7" t="s">
        <v>245</v>
      </c>
      <c r="E99" s="6" t="str">
        <f t="shared" si="3"/>
        <v>tra</v>
      </c>
      <c r="F99" s="6" t="str">
        <f t="shared" si="4"/>
        <v>road</v>
      </c>
      <c r="G99" s="6" t="str">
        <f t="shared" si="5"/>
        <v>hcar_ice_pass_hydrogen_0</v>
      </c>
      <c r="H99" s="7"/>
      <c r="I99" s="11"/>
    </row>
    <row r="100" spans="1:9" ht="16.2" customHeight="1" x14ac:dyDescent="0.3">
      <c r="A100" s="9"/>
      <c r="B100" s="7" t="s">
        <v>35</v>
      </c>
      <c r="C100" s="5" t="s">
        <v>260</v>
      </c>
      <c r="D100" s="7" t="s">
        <v>261</v>
      </c>
      <c r="E100" s="6" t="str">
        <f t="shared" si="3"/>
        <v>tra</v>
      </c>
      <c r="F100" s="6" t="str">
        <f t="shared" si="4"/>
        <v>road</v>
      </c>
      <c r="G100" s="6" t="str">
        <f t="shared" si="5"/>
        <v>hcar_ice_pass_methanol_0</v>
      </c>
      <c r="H100" s="7"/>
      <c r="I100" s="10" t="s">
        <v>26</v>
      </c>
    </row>
    <row r="101" spans="1:9" ht="16.2" customHeight="1" x14ac:dyDescent="0.3">
      <c r="A101" s="9"/>
      <c r="B101" s="7" t="s">
        <v>27</v>
      </c>
      <c r="C101" s="5" t="s">
        <v>262</v>
      </c>
      <c r="D101" s="7" t="s">
        <v>257</v>
      </c>
      <c r="E101" s="6" t="str">
        <f t="shared" si="3"/>
        <v>tra</v>
      </c>
      <c r="F101" s="6" t="str">
        <f t="shared" si="4"/>
        <v>road</v>
      </c>
      <c r="G101" s="6" t="str">
        <f t="shared" si="5"/>
        <v>hcar_ice_pass_cng_0</v>
      </c>
      <c r="H101" s="7"/>
      <c r="I101" s="11"/>
    </row>
    <row r="102" spans="1:9" ht="16.2" customHeight="1" x14ac:dyDescent="0.3">
      <c r="A102" s="9"/>
      <c r="B102" s="7" t="s">
        <v>38</v>
      </c>
      <c r="C102" s="5" t="s">
        <v>263</v>
      </c>
      <c r="D102" s="7" t="s">
        <v>257</v>
      </c>
      <c r="E102" s="6" t="str">
        <f t="shared" si="3"/>
        <v>tra</v>
      </c>
      <c r="F102" s="6" t="str">
        <f t="shared" si="4"/>
        <v>road</v>
      </c>
      <c r="G102" s="6" t="str">
        <f t="shared" si="5"/>
        <v>hcar_ice_pass_lpg_0</v>
      </c>
      <c r="H102" s="7"/>
      <c r="I102" s="10" t="s">
        <v>26</v>
      </c>
    </row>
    <row r="103" spans="1:9" ht="16.2" customHeight="1" x14ac:dyDescent="0.3">
      <c r="A103" s="9"/>
      <c r="B103" s="7" t="s">
        <v>30</v>
      </c>
      <c r="C103" s="17" t="s">
        <v>264</v>
      </c>
      <c r="D103" s="7" t="s">
        <v>257</v>
      </c>
      <c r="E103" s="6" t="str">
        <f t="shared" si="3"/>
        <v>tra</v>
      </c>
      <c r="F103" s="6" t="str">
        <f t="shared" si="4"/>
        <v>road</v>
      </c>
      <c r="G103" s="6" t="str">
        <f t="shared" si="5"/>
        <v>hcar_ice_pass_gasoline_0</v>
      </c>
      <c r="H103" s="7"/>
      <c r="I103" s="11"/>
    </row>
    <row r="104" spans="1:9" ht="16.2" customHeight="1" x14ac:dyDescent="0.3">
      <c r="A104" s="9"/>
      <c r="B104" s="7" t="s">
        <v>13</v>
      </c>
      <c r="C104" s="5" t="s">
        <v>265</v>
      </c>
      <c r="D104" s="7" t="s">
        <v>257</v>
      </c>
      <c r="E104" s="6" t="str">
        <f t="shared" si="3"/>
        <v>tra</v>
      </c>
      <c r="F104" s="6" t="str">
        <f t="shared" si="4"/>
        <v>road</v>
      </c>
      <c r="G104" s="6" t="str">
        <f t="shared" si="5"/>
        <v>hcar_ice_pass_diesel_0</v>
      </c>
      <c r="H104" s="7"/>
      <c r="I104" s="11"/>
    </row>
    <row r="105" spans="1:9" ht="16.2" customHeight="1" x14ac:dyDescent="0.3">
      <c r="A105" s="9"/>
      <c r="B105" s="7" t="s">
        <v>219</v>
      </c>
      <c r="C105" s="17" t="s">
        <v>266</v>
      </c>
      <c r="D105" s="7" t="s">
        <v>257</v>
      </c>
      <c r="E105" s="6" t="str">
        <f t="shared" si="3"/>
        <v>tra</v>
      </c>
      <c r="F105" s="6" t="str">
        <f t="shared" si="4"/>
        <v>road</v>
      </c>
      <c r="G105" s="6" t="str">
        <f t="shared" si="5"/>
        <v>hcar_ice_pass_flex_0</v>
      </c>
      <c r="H105" s="7"/>
      <c r="I105" s="10" t="s">
        <v>26</v>
      </c>
    </row>
    <row r="106" spans="1:9" ht="16.2" customHeight="1" x14ac:dyDescent="0.3">
      <c r="A106" s="9"/>
      <c r="B106" s="7" t="s">
        <v>15</v>
      </c>
      <c r="C106" s="17" t="s">
        <v>267</v>
      </c>
      <c r="D106" s="7" t="s">
        <v>268</v>
      </c>
      <c r="E106" s="6" t="str">
        <f t="shared" si="3"/>
        <v>tra</v>
      </c>
      <c r="F106" s="6" t="str">
        <f t="shared" si="4"/>
        <v>road</v>
      </c>
      <c r="G106" s="6" t="str">
        <f t="shared" si="5"/>
        <v>motorc_bev_pass_0</v>
      </c>
      <c r="H106" s="7"/>
      <c r="I106" s="10" t="s">
        <v>26</v>
      </c>
    </row>
    <row r="107" spans="1:9" ht="16.2" customHeight="1" x14ac:dyDescent="0.3">
      <c r="A107" s="9"/>
      <c r="B107" s="7" t="s">
        <v>30</v>
      </c>
      <c r="C107" s="5" t="s">
        <v>269</v>
      </c>
      <c r="D107" s="7" t="s">
        <v>270</v>
      </c>
      <c r="E107" s="6" t="str">
        <f t="shared" si="3"/>
        <v>tra</v>
      </c>
      <c r="F107" s="6" t="str">
        <f t="shared" si="4"/>
        <v>road</v>
      </c>
      <c r="G107" s="6" t="str">
        <f t="shared" si="5"/>
        <v>motorc_ice_pass_gasoline_0</v>
      </c>
      <c r="H107" s="7"/>
      <c r="I107" s="11"/>
    </row>
    <row r="108" spans="1:9" ht="16.2" customHeight="1" x14ac:dyDescent="0.3">
      <c r="A108" s="9"/>
      <c r="B108" s="7" t="s">
        <v>17</v>
      </c>
      <c r="C108" s="5" t="s">
        <v>271</v>
      </c>
      <c r="D108" s="7" t="s">
        <v>272</v>
      </c>
      <c r="E108" s="6" t="str">
        <f t="shared" si="3"/>
        <v>tra</v>
      </c>
      <c r="F108" s="6" t="str">
        <f t="shared" si="4"/>
        <v>road</v>
      </c>
      <c r="G108" s="6" t="str">
        <f t="shared" si="5"/>
        <v>ltruck_fcev_frei_hydrogen_0</v>
      </c>
      <c r="H108" s="7"/>
      <c r="I108" s="10" t="s">
        <v>122</v>
      </c>
    </row>
    <row r="109" spans="1:9" ht="16.2" customHeight="1" x14ac:dyDescent="0.3">
      <c r="A109" s="9"/>
      <c r="B109" s="7" t="s">
        <v>196</v>
      </c>
      <c r="C109" s="5" t="s">
        <v>273</v>
      </c>
      <c r="D109" s="7" t="s">
        <v>198</v>
      </c>
      <c r="E109" s="6" t="str">
        <f t="shared" si="3"/>
        <v>tra</v>
      </c>
      <c r="F109" s="6" t="str">
        <f t="shared" si="4"/>
        <v>road</v>
      </c>
      <c r="G109" s="6" t="str">
        <f t="shared" si="5"/>
        <v>ltruck_bev_frei_battery_infl_uni_0</v>
      </c>
      <c r="H109" s="7"/>
      <c r="I109" s="11"/>
    </row>
    <row r="110" spans="1:9" ht="16.2" customHeight="1" x14ac:dyDescent="0.3">
      <c r="A110" s="9"/>
      <c r="B110" s="7" t="s">
        <v>196</v>
      </c>
      <c r="C110" s="5" t="s">
        <v>274</v>
      </c>
      <c r="D110" s="7" t="s">
        <v>198</v>
      </c>
      <c r="E110" s="6" t="str">
        <f t="shared" si="3"/>
        <v>tra</v>
      </c>
      <c r="F110" s="6" t="str">
        <f t="shared" si="4"/>
        <v>road</v>
      </c>
      <c r="G110" s="6" t="str">
        <f t="shared" si="5"/>
        <v>ltruck_bev_frei_battery_flex_uni_0</v>
      </c>
      <c r="H110" s="7"/>
      <c r="I110" s="11"/>
    </row>
    <row r="111" spans="1:9" ht="16.2" customHeight="1" x14ac:dyDescent="0.3">
      <c r="A111" s="9"/>
      <c r="B111" s="7" t="s">
        <v>196</v>
      </c>
      <c r="C111" s="5" t="s">
        <v>275</v>
      </c>
      <c r="D111" s="7" t="s">
        <v>198</v>
      </c>
      <c r="E111" s="6" t="str">
        <f t="shared" si="3"/>
        <v>tra</v>
      </c>
      <c r="F111" s="6" t="str">
        <f t="shared" si="4"/>
        <v>road</v>
      </c>
      <c r="G111" s="6" t="str">
        <f t="shared" si="5"/>
        <v>ltruck_bev_frei_battery_flex_bi_0</v>
      </c>
      <c r="H111" s="7"/>
      <c r="I111" s="11"/>
    </row>
    <row r="112" spans="1:9" ht="16.2" customHeight="1" x14ac:dyDescent="0.3">
      <c r="A112" s="9"/>
      <c r="B112" s="7" t="s">
        <v>15</v>
      </c>
      <c r="C112" s="5" t="s">
        <v>276</v>
      </c>
      <c r="D112" s="7" t="s">
        <v>196</v>
      </c>
      <c r="E112" s="6" t="str">
        <f t="shared" ref="E112:E175" si="6">_xlfn.TEXTBEFORE($C112,"_")</f>
        <v>tra</v>
      </c>
      <c r="F112" s="6" t="str">
        <f t="shared" ref="F112:F175" si="7">_xlfn.TEXTBEFORE(_xlfn.TEXTAFTER($C112,_xlfn.CONCAT(E112,"_")),"_")</f>
        <v>road</v>
      </c>
      <c r="G112" s="6" t="str">
        <f t="shared" ref="G112:G175" si="8">_xlfn.TEXTAFTER($C112,_xlfn.CONCAT(F112,"_"))</f>
        <v>ltruck_bev_frei_wallbox_infl_uni_g2v_0</v>
      </c>
      <c r="H112" s="7"/>
      <c r="I112" s="11"/>
    </row>
    <row r="113" spans="1:9" ht="16.2" customHeight="1" x14ac:dyDescent="0.3">
      <c r="A113" s="9"/>
      <c r="B113" s="7" t="s">
        <v>15</v>
      </c>
      <c r="C113" s="5" t="s">
        <v>277</v>
      </c>
      <c r="D113" s="7" t="s">
        <v>196</v>
      </c>
      <c r="E113" s="6" t="str">
        <f t="shared" si="6"/>
        <v>tra</v>
      </c>
      <c r="F113" s="6" t="str">
        <f t="shared" si="7"/>
        <v>road</v>
      </c>
      <c r="G113" s="6" t="str">
        <f t="shared" si="8"/>
        <v>ltruck_bev_frei_wallbox_flex_uni_g2v_0</v>
      </c>
      <c r="H113" s="7"/>
      <c r="I113" s="11"/>
    </row>
    <row r="114" spans="1:9" ht="16.2" customHeight="1" x14ac:dyDescent="0.3">
      <c r="A114" s="9"/>
      <c r="B114" s="7" t="s">
        <v>15</v>
      </c>
      <c r="C114" s="5" t="s">
        <v>278</v>
      </c>
      <c r="D114" s="7" t="s">
        <v>196</v>
      </c>
      <c r="E114" s="6" t="str">
        <f t="shared" si="6"/>
        <v>tra</v>
      </c>
      <c r="F114" s="6" t="str">
        <f t="shared" si="7"/>
        <v>road</v>
      </c>
      <c r="G114" s="6" t="str">
        <f t="shared" si="8"/>
        <v>ltruck_bev_frei_wallbox_flex_bi_g2v_0</v>
      </c>
      <c r="H114" s="7"/>
      <c r="I114" s="11"/>
    </row>
    <row r="115" spans="1:9" ht="16.2" customHeight="1" x14ac:dyDescent="0.3">
      <c r="A115" s="9"/>
      <c r="B115" s="7" t="s">
        <v>198</v>
      </c>
      <c r="C115" s="5" t="s">
        <v>279</v>
      </c>
      <c r="D115" s="7" t="s">
        <v>15</v>
      </c>
      <c r="E115" s="6" t="str">
        <f t="shared" si="6"/>
        <v>tra</v>
      </c>
      <c r="F115" s="6" t="str">
        <f t="shared" si="7"/>
        <v>road</v>
      </c>
      <c r="G115" s="6" t="str">
        <f t="shared" si="8"/>
        <v>ltruck_bev_frei_wallbox_flex_bi_v2g_0</v>
      </c>
      <c r="H115" s="7"/>
      <c r="I115" s="11"/>
    </row>
    <row r="116" spans="1:9" ht="16.2" customHeight="1" x14ac:dyDescent="0.3">
      <c r="A116" s="9"/>
      <c r="B116" s="7" t="s">
        <v>198</v>
      </c>
      <c r="C116" s="5" t="s">
        <v>280</v>
      </c>
      <c r="D116" s="7" t="s">
        <v>272</v>
      </c>
      <c r="E116" s="6" t="str">
        <f t="shared" si="6"/>
        <v>tra</v>
      </c>
      <c r="F116" s="6" t="str">
        <f t="shared" si="7"/>
        <v>road</v>
      </c>
      <c r="G116" s="6" t="str">
        <f t="shared" si="8"/>
        <v>ltruck_bev_frei_engine_infl_uni_0</v>
      </c>
      <c r="H116" s="7"/>
      <c r="I116" s="11"/>
    </row>
    <row r="117" spans="1:9" ht="16.2" customHeight="1" x14ac:dyDescent="0.3">
      <c r="A117" s="9"/>
      <c r="B117" s="7" t="s">
        <v>198</v>
      </c>
      <c r="C117" s="5" t="s">
        <v>281</v>
      </c>
      <c r="D117" s="7" t="s">
        <v>272</v>
      </c>
      <c r="E117" s="6" t="str">
        <f t="shared" si="6"/>
        <v>tra</v>
      </c>
      <c r="F117" s="6" t="str">
        <f t="shared" si="7"/>
        <v>road</v>
      </c>
      <c r="G117" s="6" t="str">
        <f t="shared" si="8"/>
        <v>ltruck_bev_frei_engine_flex_uni_0</v>
      </c>
      <c r="H117" s="7"/>
      <c r="I117" s="11"/>
    </row>
    <row r="118" spans="1:9" ht="16.2" customHeight="1" x14ac:dyDescent="0.3">
      <c r="A118" s="9"/>
      <c r="B118" s="7" t="s">
        <v>198</v>
      </c>
      <c r="C118" s="5" t="s">
        <v>282</v>
      </c>
      <c r="D118" s="7" t="s">
        <v>272</v>
      </c>
      <c r="E118" s="6" t="str">
        <f t="shared" si="6"/>
        <v>tra</v>
      </c>
      <c r="F118" s="6" t="str">
        <f t="shared" si="7"/>
        <v>road</v>
      </c>
      <c r="G118" s="6" t="str">
        <f t="shared" si="8"/>
        <v>ltruck_bev_frei_engine_flex_bi_0</v>
      </c>
      <c r="H118" s="7"/>
      <c r="I118" s="11"/>
    </row>
    <row r="119" spans="1:9" ht="16.2" customHeight="1" x14ac:dyDescent="0.3">
      <c r="A119" s="9"/>
      <c r="B119" s="7" t="s">
        <v>152</v>
      </c>
      <c r="C119" s="5" t="s">
        <v>283</v>
      </c>
      <c r="D119" s="7" t="s">
        <v>284</v>
      </c>
      <c r="E119" s="6" t="str">
        <f t="shared" si="6"/>
        <v>tra</v>
      </c>
      <c r="F119" s="6" t="str">
        <f t="shared" si="7"/>
        <v>road</v>
      </c>
      <c r="G119" s="6" t="str">
        <f t="shared" si="8"/>
        <v>ltruck_hyb_frei_diesel_0</v>
      </c>
      <c r="H119" s="7"/>
      <c r="I119" s="10" t="s">
        <v>26</v>
      </c>
    </row>
    <row r="120" spans="1:9" ht="16.2" customHeight="1" x14ac:dyDescent="0.3">
      <c r="A120" s="9"/>
      <c r="B120" s="7" t="s">
        <v>208</v>
      </c>
      <c r="C120" s="5" t="s">
        <v>285</v>
      </c>
      <c r="D120" s="7" t="s">
        <v>284</v>
      </c>
      <c r="E120" s="6" t="str">
        <f t="shared" si="6"/>
        <v>tra</v>
      </c>
      <c r="F120" s="6" t="str">
        <f t="shared" si="7"/>
        <v>road</v>
      </c>
      <c r="G120" s="6" t="str">
        <f t="shared" si="8"/>
        <v>ltruck_hyb_frei_gasoline_0</v>
      </c>
      <c r="H120" s="7"/>
      <c r="I120" s="11"/>
    </row>
    <row r="121" spans="1:9" ht="16.2" customHeight="1" x14ac:dyDescent="0.3">
      <c r="A121" s="9"/>
      <c r="B121" s="7" t="s">
        <v>35</v>
      </c>
      <c r="C121" s="17" t="s">
        <v>286</v>
      </c>
      <c r="D121" s="7" t="s">
        <v>287</v>
      </c>
      <c r="E121" s="6" t="str">
        <f t="shared" si="6"/>
        <v>tra</v>
      </c>
      <c r="F121" s="6" t="str">
        <f t="shared" si="7"/>
        <v>road</v>
      </c>
      <c r="G121" s="6" t="str">
        <f t="shared" si="8"/>
        <v>ltruck_ice_frei_methanol_0</v>
      </c>
      <c r="H121" s="7"/>
      <c r="I121" s="10" t="s">
        <v>26</v>
      </c>
    </row>
    <row r="122" spans="1:9" ht="16.2" customHeight="1" x14ac:dyDescent="0.3">
      <c r="A122" s="9"/>
      <c r="B122" s="7" t="s">
        <v>27</v>
      </c>
      <c r="C122" s="5" t="s">
        <v>288</v>
      </c>
      <c r="D122" s="7" t="s">
        <v>284</v>
      </c>
      <c r="E122" s="6" t="str">
        <f t="shared" si="6"/>
        <v>tra</v>
      </c>
      <c r="F122" s="6" t="str">
        <f t="shared" si="7"/>
        <v>road</v>
      </c>
      <c r="G122" s="6" t="str">
        <f t="shared" si="8"/>
        <v>ltruck_ice_frei_cng_0</v>
      </c>
      <c r="H122" s="7"/>
      <c r="I122" s="11"/>
    </row>
    <row r="123" spans="1:9" ht="16.2" customHeight="1" x14ac:dyDescent="0.3">
      <c r="A123" s="9"/>
      <c r="B123" s="7" t="s">
        <v>36</v>
      </c>
      <c r="C123" s="17" t="s">
        <v>289</v>
      </c>
      <c r="D123" s="7" t="s">
        <v>287</v>
      </c>
      <c r="E123" s="6" t="str">
        <f t="shared" si="6"/>
        <v>tra</v>
      </c>
      <c r="F123" s="6" t="str">
        <f t="shared" si="7"/>
        <v>road</v>
      </c>
      <c r="G123" s="6" t="str">
        <f t="shared" si="8"/>
        <v>ltruck_ice_frei_ethanol_0</v>
      </c>
      <c r="H123" s="7"/>
      <c r="I123" s="11"/>
    </row>
    <row r="124" spans="1:9" ht="16.2" customHeight="1" x14ac:dyDescent="0.3">
      <c r="A124" s="9"/>
      <c r="B124" s="7" t="s">
        <v>38</v>
      </c>
      <c r="C124" s="17" t="s">
        <v>290</v>
      </c>
      <c r="D124" s="7" t="s">
        <v>284</v>
      </c>
      <c r="E124" s="6" t="str">
        <f t="shared" si="6"/>
        <v>tra</v>
      </c>
      <c r="F124" s="6" t="str">
        <f t="shared" si="7"/>
        <v>road</v>
      </c>
      <c r="G124" s="6" t="str">
        <f t="shared" si="8"/>
        <v>ltruck_ice_frei_lpg_0</v>
      </c>
      <c r="H124" s="7"/>
      <c r="I124" s="10" t="s">
        <v>26</v>
      </c>
    </row>
    <row r="125" spans="1:9" ht="16.2" customHeight="1" x14ac:dyDescent="0.3">
      <c r="A125" s="9"/>
      <c r="B125" s="7" t="s">
        <v>17</v>
      </c>
      <c r="C125" s="5" t="s">
        <v>291</v>
      </c>
      <c r="D125" s="7" t="s">
        <v>272</v>
      </c>
      <c r="E125" s="6" t="str">
        <f t="shared" si="6"/>
        <v>tra</v>
      </c>
      <c r="F125" s="6" t="str">
        <f t="shared" si="7"/>
        <v>road</v>
      </c>
      <c r="G125" s="6" t="str">
        <f t="shared" si="8"/>
        <v>ltruck_ice_frei_hydrogen_0</v>
      </c>
      <c r="H125" s="7"/>
      <c r="I125" s="10" t="s">
        <v>26</v>
      </c>
    </row>
    <row r="126" spans="1:9" ht="16.2" customHeight="1" x14ac:dyDescent="0.3">
      <c r="A126" s="9"/>
      <c r="B126" s="7" t="s">
        <v>30</v>
      </c>
      <c r="C126" s="5" t="s">
        <v>292</v>
      </c>
      <c r="D126" s="7" t="s">
        <v>284</v>
      </c>
      <c r="E126" s="6" t="str">
        <f t="shared" si="6"/>
        <v>tra</v>
      </c>
      <c r="F126" s="6" t="str">
        <f t="shared" si="7"/>
        <v>road</v>
      </c>
      <c r="G126" s="6" t="str">
        <f t="shared" si="8"/>
        <v>ltruck_ice_frei_gasoline_0</v>
      </c>
      <c r="H126" s="7"/>
      <c r="I126" s="10" t="s">
        <v>26</v>
      </c>
    </row>
    <row r="127" spans="1:9" ht="16.2" customHeight="1" x14ac:dyDescent="0.3">
      <c r="A127" s="9"/>
      <c r="B127" s="7" t="s">
        <v>13</v>
      </c>
      <c r="C127" s="5" t="s">
        <v>293</v>
      </c>
      <c r="D127" s="7" t="s">
        <v>284</v>
      </c>
      <c r="E127" s="6" t="str">
        <f t="shared" si="6"/>
        <v>tra</v>
      </c>
      <c r="F127" s="6" t="str">
        <f t="shared" si="7"/>
        <v>road</v>
      </c>
      <c r="G127" s="6" t="str">
        <f t="shared" si="8"/>
        <v>ltruck_ice_frei_diesel_0</v>
      </c>
      <c r="H127" s="7"/>
      <c r="I127" s="11"/>
    </row>
    <row r="128" spans="1:9" ht="16.2" customHeight="1" x14ac:dyDescent="0.3">
      <c r="A128" s="9"/>
      <c r="B128" s="7" t="s">
        <v>17</v>
      </c>
      <c r="C128" s="5" t="s">
        <v>294</v>
      </c>
      <c r="D128" s="7" t="s">
        <v>295</v>
      </c>
      <c r="E128" s="6" t="str">
        <f t="shared" si="6"/>
        <v>tra</v>
      </c>
      <c r="F128" s="6" t="str">
        <f t="shared" si="7"/>
        <v>road</v>
      </c>
      <c r="G128" s="6" t="str">
        <f t="shared" si="8"/>
        <v>mtruck_fcev_frei_hydrogen_0</v>
      </c>
      <c r="H128" s="7"/>
      <c r="I128" s="11"/>
    </row>
    <row r="129" spans="1:9" ht="16.2" customHeight="1" x14ac:dyDescent="0.3">
      <c r="A129" s="9"/>
      <c r="B129" s="7" t="s">
        <v>196</v>
      </c>
      <c r="C129" s="5" t="s">
        <v>296</v>
      </c>
      <c r="D129" s="7" t="s">
        <v>198</v>
      </c>
      <c r="E129" s="6" t="str">
        <f t="shared" si="6"/>
        <v>tra</v>
      </c>
      <c r="F129" s="6" t="str">
        <f t="shared" si="7"/>
        <v>road</v>
      </c>
      <c r="G129" s="6" t="str">
        <f t="shared" si="8"/>
        <v>mtruck_bev_frei_battery_infl_uni_0</v>
      </c>
      <c r="H129" s="7"/>
      <c r="I129" s="11"/>
    </row>
    <row r="130" spans="1:9" ht="16.2" customHeight="1" x14ac:dyDescent="0.3">
      <c r="A130" s="9"/>
      <c r="B130" s="7" t="s">
        <v>196</v>
      </c>
      <c r="C130" s="5" t="s">
        <v>297</v>
      </c>
      <c r="D130" s="7" t="s">
        <v>198</v>
      </c>
      <c r="E130" s="6" t="str">
        <f t="shared" si="6"/>
        <v>tra</v>
      </c>
      <c r="F130" s="6" t="str">
        <f t="shared" si="7"/>
        <v>road</v>
      </c>
      <c r="G130" s="6" t="str">
        <f t="shared" si="8"/>
        <v>mtruck_bev_frei_battery_flex_uni_0</v>
      </c>
      <c r="H130" s="7"/>
      <c r="I130" s="11"/>
    </row>
    <row r="131" spans="1:9" ht="16.2" customHeight="1" x14ac:dyDescent="0.3">
      <c r="A131" s="9"/>
      <c r="B131" s="7" t="s">
        <v>196</v>
      </c>
      <c r="C131" s="5" t="s">
        <v>298</v>
      </c>
      <c r="D131" s="7" t="s">
        <v>198</v>
      </c>
      <c r="E131" s="6" t="str">
        <f t="shared" si="6"/>
        <v>tra</v>
      </c>
      <c r="F131" s="6" t="str">
        <f t="shared" si="7"/>
        <v>road</v>
      </c>
      <c r="G131" s="6" t="str">
        <f t="shared" si="8"/>
        <v>mtruck_bev_frei_battery_flex_bi_0</v>
      </c>
      <c r="H131" s="7"/>
      <c r="I131" s="11"/>
    </row>
    <row r="132" spans="1:9" ht="16.2" customHeight="1" x14ac:dyDescent="0.3">
      <c r="A132" s="9"/>
      <c r="B132" s="7" t="s">
        <v>15</v>
      </c>
      <c r="C132" s="5" t="s">
        <v>299</v>
      </c>
      <c r="D132" s="7" t="s">
        <v>196</v>
      </c>
      <c r="E132" s="6" t="str">
        <f t="shared" si="6"/>
        <v>tra</v>
      </c>
      <c r="F132" s="6" t="str">
        <f t="shared" si="7"/>
        <v>road</v>
      </c>
      <c r="G132" s="6" t="str">
        <f t="shared" si="8"/>
        <v>mtruck_bev_frei_wallbox_infl_uni_g2v_0</v>
      </c>
      <c r="H132" s="7"/>
      <c r="I132" s="11"/>
    </row>
    <row r="133" spans="1:9" ht="16.2" customHeight="1" x14ac:dyDescent="0.3">
      <c r="A133" s="9"/>
      <c r="B133" s="7" t="s">
        <v>15</v>
      </c>
      <c r="C133" s="5" t="s">
        <v>300</v>
      </c>
      <c r="D133" s="7" t="s">
        <v>196</v>
      </c>
      <c r="E133" s="6" t="str">
        <f t="shared" si="6"/>
        <v>tra</v>
      </c>
      <c r="F133" s="6" t="str">
        <f t="shared" si="7"/>
        <v>road</v>
      </c>
      <c r="G133" s="6" t="str">
        <f t="shared" si="8"/>
        <v>mtruck_bev_frei_wallbox_flex_uni_g2v_0</v>
      </c>
      <c r="H133" s="7"/>
      <c r="I133" s="11"/>
    </row>
    <row r="134" spans="1:9" ht="16.2" customHeight="1" x14ac:dyDescent="0.3">
      <c r="A134" s="9"/>
      <c r="B134" s="7" t="s">
        <v>15</v>
      </c>
      <c r="C134" s="5" t="s">
        <v>301</v>
      </c>
      <c r="D134" s="7" t="s">
        <v>196</v>
      </c>
      <c r="E134" s="6" t="str">
        <f t="shared" si="6"/>
        <v>tra</v>
      </c>
      <c r="F134" s="6" t="str">
        <f t="shared" si="7"/>
        <v>road</v>
      </c>
      <c r="G134" s="6" t="str">
        <f t="shared" si="8"/>
        <v>mtruck_bev_frei_wallbox_flex_bi_g2v_0</v>
      </c>
      <c r="H134" s="7"/>
      <c r="I134" s="11"/>
    </row>
    <row r="135" spans="1:9" ht="16.2" customHeight="1" x14ac:dyDescent="0.3">
      <c r="A135" s="9"/>
      <c r="B135" s="7" t="s">
        <v>198</v>
      </c>
      <c r="C135" s="5" t="s">
        <v>302</v>
      </c>
      <c r="D135" s="7" t="s">
        <v>15</v>
      </c>
      <c r="E135" s="6" t="str">
        <f t="shared" si="6"/>
        <v>tra</v>
      </c>
      <c r="F135" s="6" t="str">
        <f t="shared" si="7"/>
        <v>road</v>
      </c>
      <c r="G135" s="6" t="str">
        <f t="shared" si="8"/>
        <v>mtruck_bev_frei_wallbox_flex_bi_v2g_0</v>
      </c>
      <c r="H135" s="7"/>
      <c r="I135" s="11"/>
    </row>
    <row r="136" spans="1:9" ht="16.2" customHeight="1" x14ac:dyDescent="0.3">
      <c r="A136" s="9"/>
      <c r="B136" s="7" t="s">
        <v>198</v>
      </c>
      <c r="C136" s="5" t="s">
        <v>303</v>
      </c>
      <c r="D136" s="7" t="s">
        <v>295</v>
      </c>
      <c r="E136" s="6" t="str">
        <f t="shared" si="6"/>
        <v>tra</v>
      </c>
      <c r="F136" s="6" t="str">
        <f t="shared" si="7"/>
        <v>road</v>
      </c>
      <c r="G136" s="6" t="str">
        <f t="shared" si="8"/>
        <v>mtruck_bev_frei_engine_infl_uni_0</v>
      </c>
      <c r="H136" s="7"/>
      <c r="I136" s="11"/>
    </row>
    <row r="137" spans="1:9" ht="16.2" customHeight="1" x14ac:dyDescent="0.3">
      <c r="A137" s="9"/>
      <c r="B137" s="7" t="s">
        <v>198</v>
      </c>
      <c r="C137" s="5" t="s">
        <v>304</v>
      </c>
      <c r="D137" s="7" t="s">
        <v>295</v>
      </c>
      <c r="E137" s="6" t="str">
        <f t="shared" si="6"/>
        <v>tra</v>
      </c>
      <c r="F137" s="6" t="str">
        <f t="shared" si="7"/>
        <v>road</v>
      </c>
      <c r="G137" s="6" t="str">
        <f t="shared" si="8"/>
        <v>mtruck_bev_frei_engine_flex_uni_0</v>
      </c>
      <c r="H137" s="7"/>
      <c r="I137" s="11"/>
    </row>
    <row r="138" spans="1:9" ht="16.2" customHeight="1" x14ac:dyDescent="0.3">
      <c r="A138" s="9"/>
      <c r="B138" s="7" t="s">
        <v>198</v>
      </c>
      <c r="C138" s="5" t="s">
        <v>305</v>
      </c>
      <c r="D138" s="7" t="s">
        <v>295</v>
      </c>
      <c r="E138" s="6" t="str">
        <f t="shared" si="6"/>
        <v>tra</v>
      </c>
      <c r="F138" s="6" t="str">
        <f t="shared" si="7"/>
        <v>road</v>
      </c>
      <c r="G138" s="6" t="str">
        <f t="shared" si="8"/>
        <v>mtruck_bev_frei_engine_flex_bi_0</v>
      </c>
      <c r="H138" s="7"/>
      <c r="I138" s="11"/>
    </row>
    <row r="139" spans="1:9" ht="16.2" customHeight="1" x14ac:dyDescent="0.3">
      <c r="A139" s="9"/>
      <c r="B139" s="7" t="s">
        <v>152</v>
      </c>
      <c r="C139" s="5" t="s">
        <v>306</v>
      </c>
      <c r="D139" s="7" t="s">
        <v>307</v>
      </c>
      <c r="E139" s="6" t="str">
        <f t="shared" si="6"/>
        <v>tra</v>
      </c>
      <c r="F139" s="6" t="str">
        <f t="shared" si="7"/>
        <v>road</v>
      </c>
      <c r="G139" s="6" t="str">
        <f t="shared" si="8"/>
        <v>mtruck_hyb_frei_diesel_0</v>
      </c>
      <c r="H139" s="7"/>
      <c r="I139" s="10" t="s">
        <v>26</v>
      </c>
    </row>
    <row r="140" spans="1:9" ht="16.2" customHeight="1" x14ac:dyDescent="0.3">
      <c r="A140" s="9"/>
      <c r="B140" s="7" t="s">
        <v>208</v>
      </c>
      <c r="C140" s="5" t="s">
        <v>308</v>
      </c>
      <c r="D140" s="7" t="s">
        <v>307</v>
      </c>
      <c r="E140" s="6" t="str">
        <f t="shared" si="6"/>
        <v>tra</v>
      </c>
      <c r="F140" s="6" t="str">
        <f t="shared" si="7"/>
        <v>road</v>
      </c>
      <c r="G140" s="6" t="str">
        <f t="shared" si="8"/>
        <v>mtruck_hyb_frei_gasoline_0</v>
      </c>
      <c r="H140" s="7"/>
      <c r="I140" s="11"/>
    </row>
    <row r="141" spans="1:9" ht="16.2" customHeight="1" x14ac:dyDescent="0.3">
      <c r="A141" s="9"/>
      <c r="B141" s="7" t="s">
        <v>35</v>
      </c>
      <c r="C141" s="5" t="s">
        <v>309</v>
      </c>
      <c r="D141" s="7" t="s">
        <v>310</v>
      </c>
      <c r="E141" s="6" t="str">
        <f t="shared" si="6"/>
        <v>tra</v>
      </c>
      <c r="F141" s="6" t="str">
        <f t="shared" si="7"/>
        <v>road</v>
      </c>
      <c r="G141" s="6" t="str">
        <f t="shared" si="8"/>
        <v>mtruck_ice_frei_methanol_0</v>
      </c>
      <c r="H141" s="7"/>
      <c r="I141" s="10" t="s">
        <v>26</v>
      </c>
    </row>
    <row r="142" spans="1:9" ht="16.2" customHeight="1" x14ac:dyDescent="0.3">
      <c r="A142" s="9"/>
      <c r="B142" s="7" t="s">
        <v>11</v>
      </c>
      <c r="C142" s="5" t="s">
        <v>311</v>
      </c>
      <c r="D142" s="7" t="s">
        <v>307</v>
      </c>
      <c r="E142" s="6" t="str">
        <f t="shared" si="6"/>
        <v>tra</v>
      </c>
      <c r="F142" s="6" t="str">
        <f t="shared" si="7"/>
        <v>road</v>
      </c>
      <c r="G142" s="6" t="str">
        <f t="shared" si="8"/>
        <v>mtruck_ice_frei_lng_0</v>
      </c>
      <c r="H142" s="7"/>
      <c r="I142" s="10" t="s">
        <v>26</v>
      </c>
    </row>
    <row r="143" spans="1:9" ht="16.2" customHeight="1" x14ac:dyDescent="0.3">
      <c r="A143" s="9"/>
      <c r="B143" s="7" t="s">
        <v>27</v>
      </c>
      <c r="C143" s="17" t="s">
        <v>312</v>
      </c>
      <c r="D143" s="7" t="s">
        <v>307</v>
      </c>
      <c r="E143" s="6" t="str">
        <f t="shared" si="6"/>
        <v>tra</v>
      </c>
      <c r="F143" s="6" t="str">
        <f t="shared" si="7"/>
        <v>road</v>
      </c>
      <c r="G143" s="6" t="str">
        <f t="shared" si="8"/>
        <v>mtruck_ice_frei_cng_0</v>
      </c>
      <c r="H143" s="7"/>
      <c r="I143" s="10" t="s">
        <v>26</v>
      </c>
    </row>
    <row r="144" spans="1:9" ht="16.2" customHeight="1" x14ac:dyDescent="0.3">
      <c r="A144" s="9"/>
      <c r="B144" s="7" t="s">
        <v>36</v>
      </c>
      <c r="C144" s="5" t="s">
        <v>313</v>
      </c>
      <c r="D144" s="7" t="s">
        <v>310</v>
      </c>
      <c r="E144" s="6" t="str">
        <f t="shared" si="6"/>
        <v>tra</v>
      </c>
      <c r="F144" s="6" t="str">
        <f t="shared" si="7"/>
        <v>road</v>
      </c>
      <c r="G144" s="6" t="str">
        <f t="shared" si="8"/>
        <v>mtruck_ice_frei_ethanol_0</v>
      </c>
      <c r="H144" s="7"/>
      <c r="I144" s="10" t="s">
        <v>26</v>
      </c>
    </row>
    <row r="145" spans="1:9" ht="16.2" customHeight="1" x14ac:dyDescent="0.3">
      <c r="A145" s="9"/>
      <c r="B145" s="7" t="s">
        <v>38</v>
      </c>
      <c r="C145" s="17" t="s">
        <v>314</v>
      </c>
      <c r="D145" s="7" t="s">
        <v>307</v>
      </c>
      <c r="E145" s="6" t="str">
        <f t="shared" si="6"/>
        <v>tra</v>
      </c>
      <c r="F145" s="6" t="str">
        <f t="shared" si="7"/>
        <v>road</v>
      </c>
      <c r="G145" s="6" t="str">
        <f t="shared" si="8"/>
        <v>mtruck_ice_frei_lpg_0</v>
      </c>
      <c r="H145" s="7"/>
      <c r="I145" s="10" t="s">
        <v>26</v>
      </c>
    </row>
    <row r="146" spans="1:9" ht="16.2" customHeight="1" x14ac:dyDescent="0.3">
      <c r="A146" s="9"/>
      <c r="B146" s="7" t="s">
        <v>17</v>
      </c>
      <c r="C146" s="17" t="s">
        <v>315</v>
      </c>
      <c r="D146" s="7" t="s">
        <v>295</v>
      </c>
      <c r="E146" s="6" t="str">
        <f t="shared" si="6"/>
        <v>tra</v>
      </c>
      <c r="F146" s="6" t="str">
        <f t="shared" si="7"/>
        <v>road</v>
      </c>
      <c r="G146" s="6" t="str">
        <f t="shared" si="8"/>
        <v>mtruck_ice_frei_hydrogen_0</v>
      </c>
      <c r="H146" s="7"/>
      <c r="I146" s="10" t="s">
        <v>26</v>
      </c>
    </row>
    <row r="147" spans="1:9" ht="16.2" customHeight="1" x14ac:dyDescent="0.3">
      <c r="A147" s="9"/>
      <c r="B147" s="7" t="s">
        <v>30</v>
      </c>
      <c r="C147" s="5" t="s">
        <v>316</v>
      </c>
      <c r="D147" s="7" t="s">
        <v>307</v>
      </c>
      <c r="E147" s="6" t="str">
        <f t="shared" si="6"/>
        <v>tra</v>
      </c>
      <c r="F147" s="6" t="str">
        <f t="shared" si="7"/>
        <v>road</v>
      </c>
      <c r="G147" s="6" t="str">
        <f t="shared" si="8"/>
        <v>mtruck_ice_frei_gasoline_0</v>
      </c>
      <c r="H147" s="7"/>
      <c r="I147" s="10" t="s">
        <v>26</v>
      </c>
    </row>
    <row r="148" spans="1:9" ht="16.2" customHeight="1" x14ac:dyDescent="0.3">
      <c r="A148" s="9"/>
      <c r="B148" s="7" t="s">
        <v>13</v>
      </c>
      <c r="C148" s="5" t="s">
        <v>317</v>
      </c>
      <c r="D148" s="7" t="s">
        <v>307</v>
      </c>
      <c r="E148" s="6" t="str">
        <f t="shared" si="6"/>
        <v>tra</v>
      </c>
      <c r="F148" s="6" t="str">
        <f t="shared" si="7"/>
        <v>road</v>
      </c>
      <c r="G148" s="6" t="str">
        <f t="shared" si="8"/>
        <v>mtruck_ice_frei_diesel_0</v>
      </c>
      <c r="H148" s="7"/>
      <c r="I148" s="10" t="s">
        <v>26</v>
      </c>
    </row>
    <row r="149" spans="1:9" ht="16.2" customHeight="1" x14ac:dyDescent="0.3">
      <c r="A149" s="9"/>
      <c r="B149" s="7" t="s">
        <v>17</v>
      </c>
      <c r="C149" s="5" t="s">
        <v>318</v>
      </c>
      <c r="D149" s="7" t="s">
        <v>319</v>
      </c>
      <c r="E149" s="6" t="str">
        <f t="shared" si="6"/>
        <v>tra</v>
      </c>
      <c r="F149" s="6" t="str">
        <f t="shared" si="7"/>
        <v>road</v>
      </c>
      <c r="G149" s="6" t="str">
        <f t="shared" si="8"/>
        <v>htruck_fcev_frei_hydrogen_0</v>
      </c>
      <c r="H149" s="7"/>
      <c r="I149" s="10" t="s">
        <v>26</v>
      </c>
    </row>
    <row r="150" spans="1:9" ht="16.2" customHeight="1" x14ac:dyDescent="0.3">
      <c r="A150" s="9"/>
      <c r="B150" s="7" t="s">
        <v>196</v>
      </c>
      <c r="C150" s="5" t="s">
        <v>320</v>
      </c>
      <c r="D150" s="7" t="s">
        <v>198</v>
      </c>
      <c r="E150" s="6" t="str">
        <f t="shared" si="6"/>
        <v>tra</v>
      </c>
      <c r="F150" s="6" t="str">
        <f t="shared" si="7"/>
        <v>road</v>
      </c>
      <c r="G150" s="6" t="str">
        <f t="shared" si="8"/>
        <v>htruck_bev_frei_battery_infl_uni_0</v>
      </c>
      <c r="H150" s="7"/>
      <c r="I150" s="11"/>
    </row>
    <row r="151" spans="1:9" ht="16.2" customHeight="1" x14ac:dyDescent="0.3">
      <c r="A151" s="9"/>
      <c r="B151" s="7" t="s">
        <v>196</v>
      </c>
      <c r="C151" s="5" t="s">
        <v>321</v>
      </c>
      <c r="D151" s="7" t="s">
        <v>198</v>
      </c>
      <c r="E151" s="6" t="str">
        <f t="shared" si="6"/>
        <v>tra</v>
      </c>
      <c r="F151" s="6" t="str">
        <f t="shared" si="7"/>
        <v>road</v>
      </c>
      <c r="G151" s="6" t="str">
        <f t="shared" si="8"/>
        <v>htruck_bev_frei_battery_flex_uni_0</v>
      </c>
      <c r="H151" s="7"/>
      <c r="I151" s="11"/>
    </row>
    <row r="152" spans="1:9" ht="16.2" customHeight="1" x14ac:dyDescent="0.3">
      <c r="A152" s="9"/>
      <c r="B152" s="7" t="s">
        <v>196</v>
      </c>
      <c r="C152" s="5" t="s">
        <v>322</v>
      </c>
      <c r="D152" s="7" t="s">
        <v>198</v>
      </c>
      <c r="E152" s="6" t="str">
        <f t="shared" si="6"/>
        <v>tra</v>
      </c>
      <c r="F152" s="6" t="str">
        <f t="shared" si="7"/>
        <v>road</v>
      </c>
      <c r="G152" s="6" t="str">
        <f t="shared" si="8"/>
        <v>htruck_bev_frei_battery_flex_bi_0</v>
      </c>
      <c r="H152" s="7"/>
      <c r="I152" s="11"/>
    </row>
    <row r="153" spans="1:9" ht="16.2" customHeight="1" x14ac:dyDescent="0.3">
      <c r="A153" s="9"/>
      <c r="B153" s="7" t="s">
        <v>15</v>
      </c>
      <c r="C153" s="5" t="s">
        <v>323</v>
      </c>
      <c r="D153" s="7" t="s">
        <v>196</v>
      </c>
      <c r="E153" s="6" t="str">
        <f t="shared" si="6"/>
        <v>tra</v>
      </c>
      <c r="F153" s="6" t="str">
        <f t="shared" si="7"/>
        <v>road</v>
      </c>
      <c r="G153" s="6" t="str">
        <f t="shared" si="8"/>
        <v>htruck_bev_frei_wallbox_infl_uni_g2v_0</v>
      </c>
      <c r="H153" s="7"/>
      <c r="I153" s="11"/>
    </row>
    <row r="154" spans="1:9" ht="16.2" customHeight="1" x14ac:dyDescent="0.3">
      <c r="A154" s="9"/>
      <c r="B154" s="7" t="s">
        <v>15</v>
      </c>
      <c r="C154" s="5" t="s">
        <v>324</v>
      </c>
      <c r="D154" s="7" t="s">
        <v>196</v>
      </c>
      <c r="E154" s="6" t="str">
        <f t="shared" si="6"/>
        <v>tra</v>
      </c>
      <c r="F154" s="6" t="str">
        <f t="shared" si="7"/>
        <v>road</v>
      </c>
      <c r="G154" s="6" t="str">
        <f t="shared" si="8"/>
        <v>htruck_bev_frei_wallbox_flex_uni_g2v_0</v>
      </c>
      <c r="H154" s="7"/>
      <c r="I154" s="11"/>
    </row>
    <row r="155" spans="1:9" ht="16.2" customHeight="1" x14ac:dyDescent="0.3">
      <c r="A155" s="9"/>
      <c r="B155" s="7" t="s">
        <v>15</v>
      </c>
      <c r="C155" s="5" t="s">
        <v>325</v>
      </c>
      <c r="D155" s="7" t="s">
        <v>196</v>
      </c>
      <c r="E155" s="6" t="str">
        <f t="shared" si="6"/>
        <v>tra</v>
      </c>
      <c r="F155" s="6" t="str">
        <f t="shared" si="7"/>
        <v>road</v>
      </c>
      <c r="G155" s="6" t="str">
        <f t="shared" si="8"/>
        <v>htruck_bev_frei_wallbox_flex_bi_g2v_0</v>
      </c>
      <c r="H155" s="7"/>
      <c r="I155" s="11"/>
    </row>
    <row r="156" spans="1:9" ht="16.2" customHeight="1" x14ac:dyDescent="0.3">
      <c r="A156" s="9"/>
      <c r="B156" s="7" t="s">
        <v>198</v>
      </c>
      <c r="C156" s="5" t="s">
        <v>326</v>
      </c>
      <c r="D156" s="7" t="s">
        <v>15</v>
      </c>
      <c r="E156" s="6" t="str">
        <f t="shared" si="6"/>
        <v>tra</v>
      </c>
      <c r="F156" s="6" t="str">
        <f t="shared" si="7"/>
        <v>road</v>
      </c>
      <c r="G156" s="6" t="str">
        <f t="shared" si="8"/>
        <v>htruck_bev_frei_wallbox_flex_bi_v2g_0</v>
      </c>
      <c r="H156" s="7"/>
      <c r="I156" s="11"/>
    </row>
    <row r="157" spans="1:9" ht="16.2" customHeight="1" x14ac:dyDescent="0.3">
      <c r="A157" s="9"/>
      <c r="B157" s="7" t="s">
        <v>198</v>
      </c>
      <c r="C157" s="5" t="s">
        <v>327</v>
      </c>
      <c r="D157" s="7" t="s">
        <v>319</v>
      </c>
      <c r="E157" s="6" t="str">
        <f t="shared" si="6"/>
        <v>tra</v>
      </c>
      <c r="F157" s="6" t="str">
        <f t="shared" si="7"/>
        <v>road</v>
      </c>
      <c r="G157" s="6" t="str">
        <f t="shared" si="8"/>
        <v>htruck_bev_frei_engine_infl_uni_0</v>
      </c>
      <c r="H157" s="7"/>
      <c r="I157" s="11"/>
    </row>
    <row r="158" spans="1:9" ht="16.2" customHeight="1" x14ac:dyDescent="0.3">
      <c r="A158" s="9"/>
      <c r="B158" s="7" t="s">
        <v>198</v>
      </c>
      <c r="C158" s="5" t="s">
        <v>328</v>
      </c>
      <c r="D158" s="7" t="s">
        <v>319</v>
      </c>
      <c r="E158" s="6" t="str">
        <f t="shared" si="6"/>
        <v>tra</v>
      </c>
      <c r="F158" s="6" t="str">
        <f t="shared" si="7"/>
        <v>road</v>
      </c>
      <c r="G158" s="6" t="str">
        <f t="shared" si="8"/>
        <v>htruck_bev_frei_engine_flex_uni_0</v>
      </c>
      <c r="H158" s="7"/>
      <c r="I158" s="11"/>
    </row>
    <row r="159" spans="1:9" ht="16.2" customHeight="1" x14ac:dyDescent="0.3">
      <c r="A159" s="9"/>
      <c r="B159" s="7" t="s">
        <v>198</v>
      </c>
      <c r="C159" s="5" t="s">
        <v>329</v>
      </c>
      <c r="D159" s="7" t="s">
        <v>319</v>
      </c>
      <c r="E159" s="6" t="str">
        <f t="shared" si="6"/>
        <v>tra</v>
      </c>
      <c r="F159" s="6" t="str">
        <f t="shared" si="7"/>
        <v>road</v>
      </c>
      <c r="G159" s="6" t="str">
        <f t="shared" si="8"/>
        <v>htruck_bev_frei_engine_flex_bi_0</v>
      </c>
      <c r="H159" s="7"/>
      <c r="I159" s="11"/>
    </row>
    <row r="160" spans="1:9" ht="16.2" customHeight="1" x14ac:dyDescent="0.3">
      <c r="A160" s="9"/>
      <c r="B160" s="7" t="s">
        <v>15</v>
      </c>
      <c r="C160" s="5" t="s">
        <v>330</v>
      </c>
      <c r="D160" s="7" t="s">
        <v>319</v>
      </c>
      <c r="E160" s="6" t="str">
        <f t="shared" si="6"/>
        <v>tra</v>
      </c>
      <c r="F160" s="6" t="str">
        <f t="shared" si="7"/>
        <v>road</v>
      </c>
      <c r="G160" s="6" t="str">
        <f t="shared" si="8"/>
        <v>htruck_oev_frei_0</v>
      </c>
      <c r="H160" s="7"/>
      <c r="I160" s="10" t="s">
        <v>26</v>
      </c>
    </row>
    <row r="161" spans="1:9" ht="16.2" customHeight="1" x14ac:dyDescent="0.3">
      <c r="A161" s="9"/>
      <c r="B161" s="7" t="s">
        <v>13</v>
      </c>
      <c r="C161" s="17" t="s">
        <v>331</v>
      </c>
      <c r="D161" s="7" t="s">
        <v>332</v>
      </c>
      <c r="E161" s="6" t="str">
        <f t="shared" si="6"/>
        <v>tra</v>
      </c>
      <c r="F161" s="6" t="str">
        <f t="shared" si="7"/>
        <v>road</v>
      </c>
      <c r="G161" s="6" t="str">
        <f t="shared" si="8"/>
        <v>htruck_ice_frei_diesel_0</v>
      </c>
      <c r="H161" s="7"/>
      <c r="I161" s="10" t="s">
        <v>26</v>
      </c>
    </row>
    <row r="162" spans="1:9" ht="16.2" customHeight="1" x14ac:dyDescent="0.3">
      <c r="A162" s="9"/>
      <c r="B162" s="7" t="s">
        <v>36</v>
      </c>
      <c r="C162" s="5" t="s">
        <v>333</v>
      </c>
      <c r="D162" s="7" t="s">
        <v>334</v>
      </c>
      <c r="E162" s="6" t="str">
        <f t="shared" si="6"/>
        <v>tra</v>
      </c>
      <c r="F162" s="6" t="str">
        <f t="shared" si="7"/>
        <v>road</v>
      </c>
      <c r="G162" s="6" t="str">
        <f t="shared" si="8"/>
        <v>htruck_ice_frei_ethanol_0</v>
      </c>
      <c r="H162" s="7"/>
      <c r="I162" s="11"/>
    </row>
    <row r="163" spans="1:9" ht="16.2" customHeight="1" x14ac:dyDescent="0.3">
      <c r="A163" s="9"/>
      <c r="B163" s="7" t="s">
        <v>17</v>
      </c>
      <c r="C163" s="5" t="s">
        <v>335</v>
      </c>
      <c r="D163" s="7" t="s">
        <v>319</v>
      </c>
      <c r="E163" s="6" t="str">
        <f t="shared" si="6"/>
        <v>tra</v>
      </c>
      <c r="F163" s="6" t="str">
        <f t="shared" si="7"/>
        <v>road</v>
      </c>
      <c r="G163" s="6" t="str">
        <f t="shared" si="8"/>
        <v>htruck_ice_frei_hydrogen_0</v>
      </c>
      <c r="H163" s="7"/>
      <c r="I163" s="11"/>
    </row>
    <row r="164" spans="1:9" ht="16.2" customHeight="1" x14ac:dyDescent="0.3">
      <c r="A164" s="9"/>
      <c r="B164" s="7" t="s">
        <v>11</v>
      </c>
      <c r="C164" s="17" t="s">
        <v>336</v>
      </c>
      <c r="D164" s="7" t="s">
        <v>332</v>
      </c>
      <c r="E164" s="6" t="str">
        <f t="shared" si="6"/>
        <v>tra</v>
      </c>
      <c r="F164" s="6" t="str">
        <f t="shared" si="7"/>
        <v>road</v>
      </c>
      <c r="G164" s="6" t="str">
        <f t="shared" si="8"/>
        <v>htruck_ice_frei_lng_0</v>
      </c>
      <c r="H164" s="7"/>
      <c r="I164" s="10" t="s">
        <v>26</v>
      </c>
    </row>
    <row r="165" spans="1:9" ht="16.2" customHeight="1" x14ac:dyDescent="0.3">
      <c r="A165" s="9"/>
      <c r="B165" s="7" t="s">
        <v>27</v>
      </c>
      <c r="C165" s="17" t="s">
        <v>337</v>
      </c>
      <c r="D165" s="7" t="s">
        <v>332</v>
      </c>
      <c r="E165" s="6" t="str">
        <f t="shared" si="6"/>
        <v>tra</v>
      </c>
      <c r="F165" s="6" t="str">
        <f t="shared" si="7"/>
        <v>road</v>
      </c>
      <c r="G165" s="6" t="str">
        <f t="shared" si="8"/>
        <v>htruck_ice_frei_cng_0</v>
      </c>
      <c r="H165" s="7"/>
      <c r="I165" s="10" t="s">
        <v>26</v>
      </c>
    </row>
    <row r="166" spans="1:9" ht="16.2" customHeight="1" x14ac:dyDescent="0.3">
      <c r="A166" s="9"/>
      <c r="B166" s="7" t="s">
        <v>39</v>
      </c>
      <c r="C166" s="5" t="s">
        <v>338</v>
      </c>
      <c r="D166" s="7" t="s">
        <v>332</v>
      </c>
      <c r="E166" s="6" t="str">
        <f t="shared" si="6"/>
        <v>tra</v>
      </c>
      <c r="F166" s="6" t="str">
        <f t="shared" si="7"/>
        <v>road</v>
      </c>
      <c r="G166" s="6" t="str">
        <f t="shared" si="8"/>
        <v>htruck_fcev_frei_ammonia_0</v>
      </c>
      <c r="H166" s="7"/>
      <c r="I166" s="10" t="s">
        <v>26</v>
      </c>
    </row>
    <row r="167" spans="1:9" ht="16.2" customHeight="1" x14ac:dyDescent="0.3">
      <c r="A167" s="9"/>
      <c r="B167" s="7" t="s">
        <v>13</v>
      </c>
      <c r="C167" s="12" t="s">
        <v>339</v>
      </c>
      <c r="D167" s="7" t="s">
        <v>340</v>
      </c>
      <c r="E167" s="6" t="str">
        <f t="shared" si="6"/>
        <v>tra</v>
      </c>
      <c r="F167" s="6" t="str">
        <f t="shared" si="7"/>
        <v>road</v>
      </c>
      <c r="G167" s="6" t="str">
        <f t="shared" si="8"/>
        <v>agri_ice_diesel_0</v>
      </c>
      <c r="H167" s="7"/>
      <c r="I167" s="10" t="s">
        <v>26</v>
      </c>
    </row>
    <row r="168" spans="1:9" ht="16.2" customHeight="1" x14ac:dyDescent="0.3">
      <c r="A168" s="9"/>
      <c r="B168" s="7" t="s">
        <v>13</v>
      </c>
      <c r="C168" s="5" t="s">
        <v>341</v>
      </c>
      <c r="D168" s="7" t="s">
        <v>342</v>
      </c>
      <c r="E168" s="6" t="str">
        <f t="shared" si="6"/>
        <v>tra</v>
      </c>
      <c r="F168" s="6" t="str">
        <f t="shared" si="7"/>
        <v>road</v>
      </c>
      <c r="G168" s="6" t="str">
        <f t="shared" si="8"/>
        <v>const_ice_diesel_0</v>
      </c>
      <c r="H168" s="7"/>
      <c r="I168" s="10" t="s">
        <v>26</v>
      </c>
    </row>
    <row r="169" spans="1:9" ht="16.2" customHeight="1" x14ac:dyDescent="0.3">
      <c r="A169" s="9"/>
      <c r="B169" s="7" t="s">
        <v>17</v>
      </c>
      <c r="C169" s="12" t="s">
        <v>343</v>
      </c>
      <c r="D169" s="7" t="s">
        <v>344</v>
      </c>
      <c r="E169" s="6" t="str">
        <f t="shared" si="6"/>
        <v>tra</v>
      </c>
      <c r="F169" s="6" t="str">
        <f t="shared" si="7"/>
        <v>air</v>
      </c>
      <c r="G169" s="6" t="str">
        <f t="shared" si="8"/>
        <v>fcev_pass_hydrogen_0_ag</v>
      </c>
      <c r="H169" s="7"/>
      <c r="I169" s="10" t="s">
        <v>26</v>
      </c>
    </row>
    <row r="170" spans="1:9" ht="16.2" customHeight="1" x14ac:dyDescent="0.3">
      <c r="A170" s="9"/>
      <c r="B170" s="7" t="s">
        <v>34</v>
      </c>
      <c r="C170" s="12" t="s">
        <v>345</v>
      </c>
      <c r="D170" s="7" t="s">
        <v>346</v>
      </c>
      <c r="E170" s="6" t="str">
        <f t="shared" si="6"/>
        <v>tra</v>
      </c>
      <c r="F170" s="6" t="str">
        <f t="shared" si="7"/>
        <v>air</v>
      </c>
      <c r="G170" s="6" t="str">
        <f t="shared" si="8"/>
        <v>ice_pass_kerosene_0_ag</v>
      </c>
      <c r="H170" s="7"/>
      <c r="I170" s="16"/>
    </row>
    <row r="171" spans="1:9" ht="16.2" customHeight="1" x14ac:dyDescent="0.3">
      <c r="A171" s="9"/>
      <c r="B171" s="6" t="s">
        <v>17</v>
      </c>
      <c r="C171" s="6" t="s">
        <v>347</v>
      </c>
      <c r="D171" s="7" t="s">
        <v>344</v>
      </c>
      <c r="E171" s="6" t="str">
        <f t="shared" si="6"/>
        <v>tra</v>
      </c>
      <c r="F171" s="6" t="str">
        <f t="shared" si="7"/>
        <v>air</v>
      </c>
      <c r="G171" s="6" t="str">
        <f t="shared" si="8"/>
        <v>ice_pass_hydrogen_0_ag</v>
      </c>
      <c r="H171" s="7"/>
      <c r="I171" s="10" t="s">
        <v>26</v>
      </c>
    </row>
    <row r="172" spans="1:9" ht="16.2" customHeight="1" x14ac:dyDescent="0.3">
      <c r="A172" s="9"/>
      <c r="B172" s="7" t="s">
        <v>133</v>
      </c>
      <c r="C172" s="12" t="s">
        <v>348</v>
      </c>
      <c r="D172" s="7" t="s">
        <v>344</v>
      </c>
      <c r="E172" s="6" t="str">
        <f t="shared" si="6"/>
        <v>tra</v>
      </c>
      <c r="F172" s="6" t="str">
        <f t="shared" si="7"/>
        <v>air</v>
      </c>
      <c r="G172" s="6" t="str">
        <f t="shared" si="8"/>
        <v>hyb_pass_kerosene_0_ag</v>
      </c>
      <c r="H172" s="7"/>
      <c r="I172" s="10" t="s">
        <v>26</v>
      </c>
    </row>
    <row r="173" spans="1:9" ht="16.2" customHeight="1" x14ac:dyDescent="0.3">
      <c r="A173" s="9"/>
      <c r="B173" s="7" t="s">
        <v>13</v>
      </c>
      <c r="C173" s="12" t="s">
        <v>349</v>
      </c>
      <c r="D173" s="7" t="s">
        <v>350</v>
      </c>
      <c r="E173" s="6" t="str">
        <f t="shared" si="6"/>
        <v>tra</v>
      </c>
      <c r="F173" s="6" t="str">
        <f t="shared" si="7"/>
        <v>rail</v>
      </c>
      <c r="G173" s="6" t="str">
        <f t="shared" si="8"/>
        <v>ice_pass_diesel_0_ag</v>
      </c>
      <c r="H173" s="7"/>
      <c r="I173" s="10" t="s">
        <v>26</v>
      </c>
    </row>
    <row r="174" spans="1:9" ht="16.2" customHeight="1" x14ac:dyDescent="0.3">
      <c r="A174" s="9"/>
      <c r="B174" s="7" t="s">
        <v>36</v>
      </c>
      <c r="C174" s="12" t="s">
        <v>351</v>
      </c>
      <c r="D174" s="7" t="s">
        <v>352</v>
      </c>
      <c r="E174" s="6" t="str">
        <f t="shared" si="6"/>
        <v>tra</v>
      </c>
      <c r="F174" s="6" t="str">
        <f t="shared" si="7"/>
        <v>rail</v>
      </c>
      <c r="G174" s="6" t="str">
        <f t="shared" si="8"/>
        <v>ice_pass_ethanol_0_ag</v>
      </c>
      <c r="H174" s="7"/>
      <c r="I174" s="10" t="s">
        <v>26</v>
      </c>
    </row>
    <row r="175" spans="1:9" ht="16.2" customHeight="1" x14ac:dyDescent="0.3">
      <c r="A175" s="9"/>
      <c r="B175" s="7" t="s">
        <v>17</v>
      </c>
      <c r="C175" s="12" t="s">
        <v>353</v>
      </c>
      <c r="D175" s="7" t="s">
        <v>354</v>
      </c>
      <c r="E175" s="6" t="str">
        <f t="shared" si="6"/>
        <v>tra</v>
      </c>
      <c r="F175" s="6" t="str">
        <f t="shared" si="7"/>
        <v>rail</v>
      </c>
      <c r="G175" s="6" t="str">
        <f t="shared" si="8"/>
        <v>fcev_pass_hydrogen_0_ag</v>
      </c>
      <c r="H175" s="7"/>
      <c r="I175" s="10" t="s">
        <v>26</v>
      </c>
    </row>
    <row r="176" spans="1:9" ht="16.2" customHeight="1" x14ac:dyDescent="0.3">
      <c r="A176" s="9"/>
      <c r="B176" s="7" t="s">
        <v>15</v>
      </c>
      <c r="C176" s="12" t="s">
        <v>355</v>
      </c>
      <c r="D176" s="7" t="s">
        <v>354</v>
      </c>
      <c r="E176" s="6" t="str">
        <f t="shared" ref="E176:E239" si="9">_xlfn.TEXTBEFORE($C176,"_")</f>
        <v>tra</v>
      </c>
      <c r="F176" s="6" t="str">
        <f t="shared" ref="F176:F239" si="10">_xlfn.TEXTBEFORE(_xlfn.TEXTAFTER($C176,_xlfn.CONCAT(E176,"_")),"_")</f>
        <v>rail</v>
      </c>
      <c r="G176" s="6" t="str">
        <f t="shared" ref="G176:G239" si="11">_xlfn.TEXTAFTER($C176,_xlfn.CONCAT(F176,"_"))</f>
        <v>oev_pass_0_ag</v>
      </c>
      <c r="H176" s="7"/>
      <c r="I176" s="10" t="s">
        <v>26</v>
      </c>
    </row>
    <row r="177" spans="1:9" ht="16.2" customHeight="1" x14ac:dyDescent="0.3">
      <c r="A177" s="9"/>
      <c r="B177" s="7" t="s">
        <v>15</v>
      </c>
      <c r="C177" s="12" t="s">
        <v>356</v>
      </c>
      <c r="D177" s="7" t="s">
        <v>354</v>
      </c>
      <c r="E177" s="6" t="str">
        <f t="shared" si="9"/>
        <v>tra</v>
      </c>
      <c r="F177" s="6" t="str">
        <f t="shared" si="10"/>
        <v>rail</v>
      </c>
      <c r="G177" s="6" t="str">
        <f t="shared" si="11"/>
        <v>bemu_pass_0_ag</v>
      </c>
      <c r="H177" s="7"/>
      <c r="I177" s="11"/>
    </row>
    <row r="178" spans="1:9" ht="16.2" customHeight="1" x14ac:dyDescent="0.3">
      <c r="A178" s="9"/>
      <c r="B178" s="7" t="s">
        <v>17</v>
      </c>
      <c r="C178" s="12" t="s">
        <v>357</v>
      </c>
      <c r="D178" s="7" t="s">
        <v>358</v>
      </c>
      <c r="E178" s="6" t="str">
        <f t="shared" si="9"/>
        <v>tra</v>
      </c>
      <c r="F178" s="6" t="str">
        <f t="shared" si="10"/>
        <v>rail</v>
      </c>
      <c r="G178" s="6" t="str">
        <f t="shared" si="11"/>
        <v>fcev_frei_hydrogen_0_ag</v>
      </c>
      <c r="H178" s="7"/>
      <c r="I178" s="11"/>
    </row>
    <row r="179" spans="1:9" ht="16.2" customHeight="1" x14ac:dyDescent="0.3">
      <c r="A179" s="9"/>
      <c r="B179" s="7" t="s">
        <v>13</v>
      </c>
      <c r="C179" s="12" t="s">
        <v>359</v>
      </c>
      <c r="D179" s="7" t="s">
        <v>360</v>
      </c>
      <c r="E179" s="6" t="str">
        <f t="shared" si="9"/>
        <v>tra</v>
      </c>
      <c r="F179" s="6" t="str">
        <f t="shared" si="10"/>
        <v>rail</v>
      </c>
      <c r="G179" s="6" t="str">
        <f t="shared" si="11"/>
        <v>ice_frei_diesel_0_ag</v>
      </c>
      <c r="H179" s="7"/>
      <c r="I179" s="11"/>
    </row>
    <row r="180" spans="1:9" ht="16.2" customHeight="1" x14ac:dyDescent="0.3">
      <c r="A180" s="9"/>
      <c r="B180" s="7" t="s">
        <v>39</v>
      </c>
      <c r="C180" s="12" t="s">
        <v>361</v>
      </c>
      <c r="D180" s="7" t="s">
        <v>358</v>
      </c>
      <c r="E180" s="6" t="str">
        <f t="shared" si="9"/>
        <v>tra</v>
      </c>
      <c r="F180" s="6" t="str">
        <f t="shared" si="10"/>
        <v>rail</v>
      </c>
      <c r="G180" s="6" t="str">
        <f t="shared" si="11"/>
        <v>ice_frei_ammonia_0_ag</v>
      </c>
      <c r="H180" s="7"/>
      <c r="I180" s="11"/>
    </row>
    <row r="181" spans="1:9" ht="16.2" customHeight="1" x14ac:dyDescent="0.3">
      <c r="A181" s="9"/>
      <c r="B181" s="7" t="s">
        <v>36</v>
      </c>
      <c r="C181" s="12" t="s">
        <v>362</v>
      </c>
      <c r="D181" s="7" t="s">
        <v>363</v>
      </c>
      <c r="E181" s="6" t="str">
        <f t="shared" si="9"/>
        <v>tra</v>
      </c>
      <c r="F181" s="6" t="str">
        <f t="shared" si="10"/>
        <v>rail</v>
      </c>
      <c r="G181" s="6" t="str">
        <f t="shared" si="11"/>
        <v>ice_frei_ethanol_0_ag</v>
      </c>
      <c r="H181" s="7"/>
      <c r="I181" s="10" t="s">
        <v>26</v>
      </c>
    </row>
    <row r="182" spans="1:9" ht="16.2" customHeight="1" x14ac:dyDescent="0.3">
      <c r="A182" s="9"/>
      <c r="B182" s="7" t="s">
        <v>17</v>
      </c>
      <c r="C182" s="12" t="s">
        <v>364</v>
      </c>
      <c r="D182" s="7" t="s">
        <v>365</v>
      </c>
      <c r="E182" s="6" t="str">
        <f t="shared" si="9"/>
        <v>tra</v>
      </c>
      <c r="F182" s="6" t="str">
        <f t="shared" si="10"/>
        <v>road</v>
      </c>
      <c r="G182" s="6" t="str">
        <f t="shared" si="11"/>
        <v>bus_fcev_pass_hydrogen_0_ag</v>
      </c>
      <c r="H182" s="7"/>
      <c r="I182" s="11"/>
    </row>
    <row r="183" spans="1:9" ht="16.2" customHeight="1" x14ac:dyDescent="0.3">
      <c r="A183" s="9"/>
      <c r="B183" s="7" t="s">
        <v>15</v>
      </c>
      <c r="C183" s="12" t="s">
        <v>366</v>
      </c>
      <c r="D183" s="7" t="s">
        <v>365</v>
      </c>
      <c r="E183" s="6" t="str">
        <f t="shared" si="9"/>
        <v>tra</v>
      </c>
      <c r="F183" s="6" t="str">
        <f t="shared" si="10"/>
        <v>road</v>
      </c>
      <c r="G183" s="6" t="str">
        <f t="shared" si="11"/>
        <v>bus_bev_pass_0_ag</v>
      </c>
      <c r="H183" s="7"/>
      <c r="I183" s="10" t="s">
        <v>26</v>
      </c>
    </row>
    <row r="184" spans="1:9" ht="16.2" customHeight="1" x14ac:dyDescent="0.3">
      <c r="A184" s="9"/>
      <c r="B184" s="7" t="s">
        <v>13</v>
      </c>
      <c r="C184" s="12" t="s">
        <v>367</v>
      </c>
      <c r="D184" s="7" t="s">
        <v>368</v>
      </c>
      <c r="E184" s="6" t="str">
        <f t="shared" si="9"/>
        <v>tra</v>
      </c>
      <c r="F184" s="6" t="str">
        <f t="shared" si="10"/>
        <v>road</v>
      </c>
      <c r="G184" s="6" t="str">
        <f t="shared" si="11"/>
        <v>bus_ice_pass_diesel_0_ag</v>
      </c>
      <c r="H184" s="7"/>
      <c r="I184" s="10" t="s">
        <v>26</v>
      </c>
    </row>
    <row r="185" spans="1:9" ht="16.2" customHeight="1" x14ac:dyDescent="0.3">
      <c r="A185" s="9"/>
      <c r="B185" s="7" t="s">
        <v>17</v>
      </c>
      <c r="C185" s="12" t="s">
        <v>369</v>
      </c>
      <c r="D185" s="7" t="s">
        <v>370</v>
      </c>
      <c r="E185" s="6" t="str">
        <f t="shared" si="9"/>
        <v>tra</v>
      </c>
      <c r="F185" s="6" t="str">
        <f t="shared" si="10"/>
        <v>road</v>
      </c>
      <c r="G185" s="6" t="str">
        <f t="shared" si="11"/>
        <v>car_fcev_pass_hydrogen_0_ag</v>
      </c>
      <c r="H185" s="7"/>
      <c r="I185" s="10" t="s">
        <v>24</v>
      </c>
    </row>
    <row r="186" spans="1:9" ht="16.2" customHeight="1" x14ac:dyDescent="0.3">
      <c r="A186" s="9"/>
      <c r="B186" s="7" t="s">
        <v>196</v>
      </c>
      <c r="C186" s="12" t="s">
        <v>371</v>
      </c>
      <c r="D186" s="7" t="s">
        <v>198</v>
      </c>
      <c r="E186" s="6" t="str">
        <f t="shared" si="9"/>
        <v>tra</v>
      </c>
      <c r="F186" s="6" t="str">
        <f t="shared" si="10"/>
        <v>road</v>
      </c>
      <c r="G186" s="6" t="str">
        <f t="shared" si="11"/>
        <v>car_bev_pass_battery_infl_uni_0_ag</v>
      </c>
      <c r="H186" s="7"/>
      <c r="I186" s="11"/>
    </row>
    <row r="187" spans="1:9" ht="16.2" customHeight="1" x14ac:dyDescent="0.3">
      <c r="A187" s="9"/>
      <c r="B187" s="7" t="s">
        <v>196</v>
      </c>
      <c r="C187" s="12" t="s">
        <v>372</v>
      </c>
      <c r="D187" s="7" t="s">
        <v>198</v>
      </c>
      <c r="E187" s="6" t="str">
        <f t="shared" si="9"/>
        <v>tra</v>
      </c>
      <c r="F187" s="6" t="str">
        <f t="shared" si="10"/>
        <v>road</v>
      </c>
      <c r="G187" s="6" t="str">
        <f t="shared" si="11"/>
        <v>car_bev_pass_battery_flex_uni_0_ag</v>
      </c>
      <c r="H187" s="7"/>
      <c r="I187" s="11"/>
    </row>
    <row r="188" spans="1:9" ht="16.2" customHeight="1" x14ac:dyDescent="0.3">
      <c r="A188" s="9"/>
      <c r="B188" s="7" t="s">
        <v>196</v>
      </c>
      <c r="C188" s="12" t="s">
        <v>373</v>
      </c>
      <c r="D188" s="7" t="s">
        <v>198</v>
      </c>
      <c r="E188" s="6" t="str">
        <f t="shared" si="9"/>
        <v>tra</v>
      </c>
      <c r="F188" s="6" t="str">
        <f t="shared" si="10"/>
        <v>road</v>
      </c>
      <c r="G188" s="6" t="str">
        <f t="shared" si="11"/>
        <v>car_bev_pass_battery_flex_bi_0_ag</v>
      </c>
      <c r="H188" s="7"/>
      <c r="I188" s="11"/>
    </row>
    <row r="189" spans="1:9" ht="16.2" customHeight="1" x14ac:dyDescent="0.3">
      <c r="A189" s="9"/>
      <c r="B189" s="7" t="s">
        <v>15</v>
      </c>
      <c r="C189" s="12" t="s">
        <v>374</v>
      </c>
      <c r="D189" s="7" t="s">
        <v>196</v>
      </c>
      <c r="E189" s="6" t="str">
        <f t="shared" si="9"/>
        <v>tra</v>
      </c>
      <c r="F189" s="6" t="str">
        <f t="shared" si="10"/>
        <v>road</v>
      </c>
      <c r="G189" s="6" t="str">
        <f t="shared" si="11"/>
        <v>car_bev_pass_wallbox_infl_uni_g2v_0_ag</v>
      </c>
      <c r="H189" s="7"/>
      <c r="I189" s="11"/>
    </row>
    <row r="190" spans="1:9" ht="16.2" customHeight="1" x14ac:dyDescent="0.3">
      <c r="A190" s="9"/>
      <c r="B190" s="7" t="s">
        <v>15</v>
      </c>
      <c r="C190" s="12" t="s">
        <v>375</v>
      </c>
      <c r="D190" s="7" t="s">
        <v>196</v>
      </c>
      <c r="E190" s="6" t="str">
        <f t="shared" si="9"/>
        <v>tra</v>
      </c>
      <c r="F190" s="6" t="str">
        <f t="shared" si="10"/>
        <v>road</v>
      </c>
      <c r="G190" s="6" t="str">
        <f t="shared" si="11"/>
        <v>car_bev_pass_wallbox_flex_uni_g2v_0_ag</v>
      </c>
      <c r="H190" s="7"/>
      <c r="I190" s="11"/>
    </row>
    <row r="191" spans="1:9" ht="16.2" customHeight="1" x14ac:dyDescent="0.3">
      <c r="A191" s="9"/>
      <c r="B191" s="7" t="s">
        <v>15</v>
      </c>
      <c r="C191" s="12" t="s">
        <v>376</v>
      </c>
      <c r="D191" s="7" t="s">
        <v>196</v>
      </c>
      <c r="E191" s="6" t="str">
        <f t="shared" si="9"/>
        <v>tra</v>
      </c>
      <c r="F191" s="6" t="str">
        <f t="shared" si="10"/>
        <v>road</v>
      </c>
      <c r="G191" s="6" t="str">
        <f t="shared" si="11"/>
        <v>car_bev_pass_wallbox_flex_bi_g2v_0_ag</v>
      </c>
      <c r="H191" s="7"/>
      <c r="I191" s="11"/>
    </row>
    <row r="192" spans="1:9" ht="16.2" customHeight="1" x14ac:dyDescent="0.3">
      <c r="A192" s="9"/>
      <c r="B192" s="7" t="s">
        <v>198</v>
      </c>
      <c r="C192" s="12" t="s">
        <v>377</v>
      </c>
      <c r="D192" s="7" t="s">
        <v>15</v>
      </c>
      <c r="E192" s="6" t="str">
        <f t="shared" si="9"/>
        <v>tra</v>
      </c>
      <c r="F192" s="6" t="str">
        <f t="shared" si="10"/>
        <v>road</v>
      </c>
      <c r="G192" s="6" t="str">
        <f t="shared" si="11"/>
        <v>car_bev_pass_wallbox_flex_bi_v2g_0_ag</v>
      </c>
      <c r="H192" s="7"/>
      <c r="I192" s="11"/>
    </row>
    <row r="193" spans="1:9" ht="16.2" customHeight="1" x14ac:dyDescent="0.3">
      <c r="A193" s="9"/>
      <c r="B193" s="7" t="s">
        <v>198</v>
      </c>
      <c r="C193" s="12" t="s">
        <v>378</v>
      </c>
      <c r="D193" s="7" t="s">
        <v>370</v>
      </c>
      <c r="E193" s="6" t="str">
        <f t="shared" si="9"/>
        <v>tra</v>
      </c>
      <c r="F193" s="6" t="str">
        <f t="shared" si="10"/>
        <v>road</v>
      </c>
      <c r="G193" s="6" t="str">
        <f t="shared" si="11"/>
        <v>car_bev_pass_engine_infl_uni_0_ag</v>
      </c>
      <c r="H193" s="7"/>
      <c r="I193" s="11"/>
    </row>
    <row r="194" spans="1:9" ht="16.2" customHeight="1" x14ac:dyDescent="0.3">
      <c r="A194" s="9"/>
      <c r="B194" s="7" t="s">
        <v>198</v>
      </c>
      <c r="C194" s="12" t="s">
        <v>379</v>
      </c>
      <c r="D194" s="7" t="s">
        <v>370</v>
      </c>
      <c r="E194" s="6" t="str">
        <f t="shared" si="9"/>
        <v>tra</v>
      </c>
      <c r="F194" s="6" t="str">
        <f t="shared" si="10"/>
        <v>road</v>
      </c>
      <c r="G194" s="6" t="str">
        <f t="shared" si="11"/>
        <v>car_bev_pass_engine_flex_uni_0_ag</v>
      </c>
      <c r="H194" s="7"/>
      <c r="I194" s="11"/>
    </row>
    <row r="195" spans="1:9" ht="16.2" customHeight="1" x14ac:dyDescent="0.3">
      <c r="A195" s="9"/>
      <c r="B195" s="7" t="s">
        <v>198</v>
      </c>
      <c r="C195" s="12" t="s">
        <v>380</v>
      </c>
      <c r="D195" s="7" t="s">
        <v>370</v>
      </c>
      <c r="E195" s="6" t="str">
        <f t="shared" si="9"/>
        <v>tra</v>
      </c>
      <c r="F195" s="6" t="str">
        <f t="shared" si="10"/>
        <v>road</v>
      </c>
      <c r="G195" s="6" t="str">
        <f t="shared" si="11"/>
        <v>car_bev_pass_engine_flex_bi_0_ag</v>
      </c>
      <c r="H195" s="7"/>
      <c r="I195" s="11"/>
    </row>
    <row r="196" spans="1:9" ht="16.2" customHeight="1" x14ac:dyDescent="0.3">
      <c r="A196" s="9"/>
      <c r="B196" s="7" t="s">
        <v>30</v>
      </c>
      <c r="C196" s="19" t="s">
        <v>381</v>
      </c>
      <c r="D196" s="7" t="s">
        <v>382</v>
      </c>
      <c r="E196" s="6" t="str">
        <f t="shared" si="9"/>
        <v>tra</v>
      </c>
      <c r="F196" s="6" t="str">
        <f t="shared" si="10"/>
        <v>road</v>
      </c>
      <c r="G196" s="6" t="str">
        <f t="shared" si="11"/>
        <v>car_hyb_pass_gasoline_0_ag</v>
      </c>
      <c r="H196" s="7"/>
      <c r="I196" s="10" t="s">
        <v>26</v>
      </c>
    </row>
    <row r="197" spans="1:9" ht="16.2" customHeight="1" x14ac:dyDescent="0.3">
      <c r="A197" s="9"/>
      <c r="B197" s="7" t="s">
        <v>13</v>
      </c>
      <c r="C197" s="12" t="s">
        <v>383</v>
      </c>
      <c r="D197" s="7" t="s">
        <v>382</v>
      </c>
      <c r="E197" s="6" t="str">
        <f t="shared" si="9"/>
        <v>tra</v>
      </c>
      <c r="F197" s="6" t="str">
        <f t="shared" si="10"/>
        <v>road</v>
      </c>
      <c r="G197" s="6" t="str">
        <f t="shared" si="11"/>
        <v>car_hyb_pass_diesel_0_ag</v>
      </c>
      <c r="H197" s="7"/>
      <c r="I197" s="10" t="s">
        <v>24</v>
      </c>
    </row>
    <row r="198" spans="1:9" ht="16.2" customHeight="1" x14ac:dyDescent="0.3">
      <c r="A198" s="9"/>
      <c r="B198" s="7" t="s">
        <v>17</v>
      </c>
      <c r="C198" s="12" t="s">
        <v>384</v>
      </c>
      <c r="D198" s="7" t="s">
        <v>370</v>
      </c>
      <c r="E198" s="6" t="str">
        <f t="shared" si="9"/>
        <v>tra</v>
      </c>
      <c r="F198" s="6" t="str">
        <f t="shared" si="10"/>
        <v>road</v>
      </c>
      <c r="G198" s="6" t="str">
        <f t="shared" si="11"/>
        <v>car_ice_pass_hydrogen_0_ag</v>
      </c>
      <c r="H198" s="7"/>
      <c r="I198" s="11"/>
    </row>
    <row r="199" spans="1:9" ht="16.2" customHeight="1" x14ac:dyDescent="0.3">
      <c r="A199" s="9"/>
      <c r="B199" s="7" t="s">
        <v>35</v>
      </c>
      <c r="C199" s="19" t="s">
        <v>385</v>
      </c>
      <c r="D199" s="7" t="s">
        <v>386</v>
      </c>
      <c r="E199" s="6" t="str">
        <f t="shared" si="9"/>
        <v>tra</v>
      </c>
      <c r="F199" s="6" t="str">
        <f t="shared" si="10"/>
        <v>road</v>
      </c>
      <c r="G199" s="6" t="str">
        <f t="shared" si="11"/>
        <v>car_ice_pass_methanol_0_ag</v>
      </c>
      <c r="H199" s="7"/>
      <c r="I199" s="10" t="s">
        <v>24</v>
      </c>
    </row>
    <row r="200" spans="1:9" ht="16.2" customHeight="1" x14ac:dyDescent="0.3">
      <c r="A200" s="9"/>
      <c r="B200" s="7" t="s">
        <v>27</v>
      </c>
      <c r="C200" s="12" t="s">
        <v>387</v>
      </c>
      <c r="D200" s="7" t="s">
        <v>382</v>
      </c>
      <c r="E200" s="6" t="str">
        <f t="shared" si="9"/>
        <v>tra</v>
      </c>
      <c r="F200" s="6" t="str">
        <f t="shared" si="10"/>
        <v>road</v>
      </c>
      <c r="G200" s="6" t="str">
        <f t="shared" si="11"/>
        <v>car_ice_pass_cng_0_ag</v>
      </c>
      <c r="H200" s="7"/>
      <c r="I200" s="10" t="s">
        <v>26</v>
      </c>
    </row>
    <row r="201" spans="1:9" ht="16.2" customHeight="1" x14ac:dyDescent="0.3">
      <c r="A201" s="9"/>
      <c r="B201" s="7" t="s">
        <v>38</v>
      </c>
      <c r="C201" s="12" t="s">
        <v>388</v>
      </c>
      <c r="D201" s="7" t="s">
        <v>382</v>
      </c>
      <c r="E201" s="6" t="str">
        <f t="shared" si="9"/>
        <v>tra</v>
      </c>
      <c r="F201" s="6" t="str">
        <f t="shared" si="10"/>
        <v>road</v>
      </c>
      <c r="G201" s="6" t="str">
        <f t="shared" si="11"/>
        <v>car_ice_pass_lpg_0_ag</v>
      </c>
      <c r="H201" s="7"/>
      <c r="I201" s="11"/>
    </row>
    <row r="202" spans="1:9" ht="16.2" customHeight="1" x14ac:dyDescent="0.3">
      <c r="A202" s="9"/>
      <c r="B202" s="7" t="s">
        <v>30</v>
      </c>
      <c r="C202" s="12" t="s">
        <v>389</v>
      </c>
      <c r="D202" s="7" t="s">
        <v>382</v>
      </c>
      <c r="E202" s="6" t="str">
        <f t="shared" si="9"/>
        <v>tra</v>
      </c>
      <c r="F202" s="6" t="str">
        <f t="shared" si="10"/>
        <v>road</v>
      </c>
      <c r="G202" s="6" t="str">
        <f t="shared" si="11"/>
        <v>car_ice_pass_gasoline_0_ag</v>
      </c>
      <c r="H202" s="7"/>
      <c r="I202" s="10" t="s">
        <v>26</v>
      </c>
    </row>
    <row r="203" spans="1:9" ht="16.2" customHeight="1" x14ac:dyDescent="0.3">
      <c r="A203" s="9"/>
      <c r="B203" s="7" t="s">
        <v>13</v>
      </c>
      <c r="C203" s="19" t="s">
        <v>390</v>
      </c>
      <c r="D203" s="7" t="s">
        <v>382</v>
      </c>
      <c r="E203" s="6" t="str">
        <f t="shared" si="9"/>
        <v>tra</v>
      </c>
      <c r="F203" s="6" t="str">
        <f t="shared" si="10"/>
        <v>road</v>
      </c>
      <c r="G203" s="6" t="str">
        <f t="shared" si="11"/>
        <v>car_ice_pass_diesel_0_ag</v>
      </c>
      <c r="H203" s="7"/>
      <c r="I203" s="11"/>
    </row>
    <row r="204" spans="1:9" ht="16.2" customHeight="1" x14ac:dyDescent="0.3">
      <c r="A204" s="9"/>
      <c r="B204" s="7" t="s">
        <v>219</v>
      </c>
      <c r="C204" s="12" t="s">
        <v>391</v>
      </c>
      <c r="D204" s="7" t="s">
        <v>382</v>
      </c>
      <c r="E204" s="6" t="str">
        <f t="shared" si="9"/>
        <v>tra</v>
      </c>
      <c r="F204" s="6" t="str">
        <f t="shared" si="10"/>
        <v>road</v>
      </c>
      <c r="G204" s="6" t="str">
        <f t="shared" si="11"/>
        <v>car_ice_pass_flex_0_ag</v>
      </c>
      <c r="H204" s="7"/>
      <c r="I204" s="11"/>
    </row>
    <row r="205" spans="1:9" ht="16.2" customHeight="1" x14ac:dyDescent="0.3">
      <c r="A205" s="9"/>
      <c r="B205" s="7" t="s">
        <v>196</v>
      </c>
      <c r="C205" s="19" t="s">
        <v>392</v>
      </c>
      <c r="D205" s="7" t="s">
        <v>198</v>
      </c>
      <c r="E205" s="6" t="str">
        <f t="shared" si="9"/>
        <v>tra</v>
      </c>
      <c r="F205" s="6" t="str">
        <f t="shared" si="10"/>
        <v>road</v>
      </c>
      <c r="G205" s="6" t="str">
        <f t="shared" si="11"/>
        <v>truck_bev_frei_battery_infl_uni_0_ag</v>
      </c>
      <c r="H205" s="7"/>
      <c r="I205" s="11"/>
    </row>
    <row r="206" spans="1:9" ht="16.2" customHeight="1" x14ac:dyDescent="0.3">
      <c r="A206" s="9"/>
      <c r="B206" s="7" t="s">
        <v>196</v>
      </c>
      <c r="C206" s="12" t="s">
        <v>393</v>
      </c>
      <c r="D206" s="7" t="s">
        <v>198</v>
      </c>
      <c r="E206" s="6" t="str">
        <f t="shared" si="9"/>
        <v>tra</v>
      </c>
      <c r="F206" s="6" t="str">
        <f t="shared" si="10"/>
        <v>road</v>
      </c>
      <c r="G206" s="6" t="str">
        <f t="shared" si="11"/>
        <v>truck_bev_frei_battery_flex_uni_0_ag</v>
      </c>
      <c r="H206" s="7"/>
      <c r="I206" s="11"/>
    </row>
    <row r="207" spans="1:9" ht="16.2" customHeight="1" x14ac:dyDescent="0.3">
      <c r="A207" s="9"/>
      <c r="B207" s="7" t="s">
        <v>196</v>
      </c>
      <c r="C207" s="12" t="s">
        <v>394</v>
      </c>
      <c r="D207" s="7" t="s">
        <v>198</v>
      </c>
      <c r="E207" s="6" t="str">
        <f t="shared" si="9"/>
        <v>tra</v>
      </c>
      <c r="F207" s="6" t="str">
        <f t="shared" si="10"/>
        <v>road</v>
      </c>
      <c r="G207" s="6" t="str">
        <f t="shared" si="11"/>
        <v>truck_bev_frei_battery_flex_bi_0_ag</v>
      </c>
      <c r="H207" s="7"/>
      <c r="I207" s="11"/>
    </row>
    <row r="208" spans="1:9" ht="16.2" customHeight="1" x14ac:dyDescent="0.3">
      <c r="A208" s="9"/>
      <c r="B208" s="7" t="s">
        <v>15</v>
      </c>
      <c r="C208" s="12" t="s">
        <v>395</v>
      </c>
      <c r="D208" s="7" t="s">
        <v>196</v>
      </c>
      <c r="E208" s="6" t="str">
        <f t="shared" si="9"/>
        <v>tra</v>
      </c>
      <c r="F208" s="6" t="str">
        <f t="shared" si="10"/>
        <v>road</v>
      </c>
      <c r="G208" s="6" t="str">
        <f t="shared" si="11"/>
        <v>truck_bev_frei_wallbox_infl_uni_g2v_0_ag</v>
      </c>
      <c r="H208" s="7"/>
      <c r="I208" s="11"/>
    </row>
    <row r="209" spans="1:9" ht="16.2" customHeight="1" x14ac:dyDescent="0.3">
      <c r="A209" s="9"/>
      <c r="B209" s="7" t="s">
        <v>15</v>
      </c>
      <c r="C209" s="12" t="s">
        <v>396</v>
      </c>
      <c r="D209" s="7" t="s">
        <v>196</v>
      </c>
      <c r="E209" s="6" t="str">
        <f t="shared" si="9"/>
        <v>tra</v>
      </c>
      <c r="F209" s="6" t="str">
        <f t="shared" si="10"/>
        <v>road</v>
      </c>
      <c r="G209" s="6" t="str">
        <f t="shared" si="11"/>
        <v>truck_bev_frei_wallbox_flex_uni_g2v_0_ag</v>
      </c>
      <c r="H209" s="7"/>
      <c r="I209" s="11"/>
    </row>
    <row r="210" spans="1:9" ht="16.2" customHeight="1" x14ac:dyDescent="0.3">
      <c r="A210" s="9"/>
      <c r="B210" s="7" t="s">
        <v>15</v>
      </c>
      <c r="C210" s="12" t="s">
        <v>397</v>
      </c>
      <c r="D210" s="7" t="s">
        <v>196</v>
      </c>
      <c r="E210" s="6" t="str">
        <f t="shared" si="9"/>
        <v>tra</v>
      </c>
      <c r="F210" s="6" t="str">
        <f t="shared" si="10"/>
        <v>road</v>
      </c>
      <c r="G210" s="6" t="str">
        <f t="shared" si="11"/>
        <v>truck_bev_frei_wallbox_flex_bi_g2v_0_ag</v>
      </c>
      <c r="H210" s="7"/>
      <c r="I210" s="11"/>
    </row>
    <row r="211" spans="1:9" ht="16.2" customHeight="1" x14ac:dyDescent="0.3">
      <c r="A211" s="9"/>
      <c r="B211" s="7" t="s">
        <v>198</v>
      </c>
      <c r="C211" s="12" t="s">
        <v>398</v>
      </c>
      <c r="D211" s="7" t="s">
        <v>15</v>
      </c>
      <c r="E211" s="6" t="str">
        <f t="shared" si="9"/>
        <v>tra</v>
      </c>
      <c r="F211" s="6" t="str">
        <f t="shared" si="10"/>
        <v>road</v>
      </c>
      <c r="G211" s="6" t="str">
        <f t="shared" si="11"/>
        <v>truck_bev_frei_wallbox_flex_bi_v2g_0_ag</v>
      </c>
      <c r="H211" s="7"/>
      <c r="I211" s="11"/>
    </row>
    <row r="212" spans="1:9" ht="16.2" customHeight="1" x14ac:dyDescent="0.3">
      <c r="A212" s="9"/>
      <c r="B212" s="7" t="s">
        <v>198</v>
      </c>
      <c r="C212" s="12" t="s">
        <v>399</v>
      </c>
      <c r="D212" s="7" t="s">
        <v>400</v>
      </c>
      <c r="E212" s="6" t="str">
        <f t="shared" si="9"/>
        <v>tra</v>
      </c>
      <c r="F212" s="6" t="str">
        <f t="shared" si="10"/>
        <v>road</v>
      </c>
      <c r="G212" s="6" t="str">
        <f t="shared" si="11"/>
        <v>truck_bev_frei_engine_infl_uni_0_ag</v>
      </c>
      <c r="H212" s="7"/>
      <c r="I212" s="11"/>
    </row>
    <row r="213" spans="1:9" ht="16.2" customHeight="1" x14ac:dyDescent="0.3">
      <c r="A213" s="9"/>
      <c r="B213" s="7" t="s">
        <v>198</v>
      </c>
      <c r="C213" s="12" t="s">
        <v>401</v>
      </c>
      <c r="D213" s="7" t="s">
        <v>400</v>
      </c>
      <c r="E213" s="6" t="str">
        <f t="shared" si="9"/>
        <v>tra</v>
      </c>
      <c r="F213" s="6" t="str">
        <f t="shared" si="10"/>
        <v>road</v>
      </c>
      <c r="G213" s="6" t="str">
        <f t="shared" si="11"/>
        <v>truck_bev_frei_engine_flex_uni_0_ag</v>
      </c>
      <c r="H213" s="7"/>
      <c r="I213" s="11"/>
    </row>
    <row r="214" spans="1:9" ht="16.2" customHeight="1" x14ac:dyDescent="0.3">
      <c r="A214" s="9"/>
      <c r="B214" s="7" t="s">
        <v>198</v>
      </c>
      <c r="C214" s="12" t="s">
        <v>402</v>
      </c>
      <c r="D214" s="7" t="s">
        <v>400</v>
      </c>
      <c r="E214" s="6" t="str">
        <f t="shared" si="9"/>
        <v>tra</v>
      </c>
      <c r="F214" s="6" t="str">
        <f t="shared" si="10"/>
        <v>road</v>
      </c>
      <c r="G214" s="6" t="str">
        <f t="shared" si="11"/>
        <v>truck_bev_frei_engine_flex_bi_0_ag</v>
      </c>
      <c r="H214" s="7"/>
      <c r="I214" s="11"/>
    </row>
    <row r="215" spans="1:9" ht="16.2" customHeight="1" x14ac:dyDescent="0.3">
      <c r="A215" s="9"/>
      <c r="B215" s="7" t="s">
        <v>17</v>
      </c>
      <c r="C215" s="12" t="s">
        <v>403</v>
      </c>
      <c r="D215" s="7" t="s">
        <v>400</v>
      </c>
      <c r="E215" s="6" t="str">
        <f t="shared" si="9"/>
        <v>tra</v>
      </c>
      <c r="F215" s="6" t="str">
        <f t="shared" si="10"/>
        <v>road</v>
      </c>
      <c r="G215" s="6" t="str">
        <f t="shared" si="11"/>
        <v>truck_fcev_frei_hydrogen_0_ag</v>
      </c>
      <c r="H215" s="7"/>
      <c r="I215" s="11"/>
    </row>
    <row r="216" spans="1:9" ht="16.2" customHeight="1" x14ac:dyDescent="0.3">
      <c r="A216" s="9"/>
      <c r="B216" s="7" t="s">
        <v>404</v>
      </c>
      <c r="C216" s="5" t="s">
        <v>405</v>
      </c>
      <c r="D216" s="7" t="s">
        <v>406</v>
      </c>
      <c r="E216" s="6" t="str">
        <f t="shared" si="9"/>
        <v>tra</v>
      </c>
      <c r="F216" s="6" t="str">
        <f t="shared" si="10"/>
        <v>road</v>
      </c>
      <c r="G216" s="6" t="str">
        <f t="shared" si="11"/>
        <v>truck_hyb_frei_diesel_0_ag</v>
      </c>
      <c r="H216" s="7"/>
      <c r="I216" s="11"/>
    </row>
    <row r="217" spans="1:9" ht="16.2" customHeight="1" x14ac:dyDescent="0.3">
      <c r="A217" s="9"/>
      <c r="B217" s="7" t="s">
        <v>407</v>
      </c>
      <c r="C217" s="5" t="s">
        <v>408</v>
      </c>
      <c r="D217" s="7" t="s">
        <v>406</v>
      </c>
      <c r="E217" s="6" t="str">
        <f t="shared" si="9"/>
        <v>tra</v>
      </c>
      <c r="F217" s="6" t="str">
        <f t="shared" si="10"/>
        <v>road</v>
      </c>
      <c r="G217" s="6" t="str">
        <f t="shared" si="11"/>
        <v>truck_hyb_frei_gasoline_0_ag</v>
      </c>
      <c r="H217" s="7"/>
      <c r="I217" s="11"/>
    </row>
    <row r="218" spans="1:9" ht="16.2" customHeight="1" x14ac:dyDescent="0.3">
      <c r="A218" s="9"/>
      <c r="B218" s="7" t="s">
        <v>11</v>
      </c>
      <c r="C218" s="12" t="s">
        <v>409</v>
      </c>
      <c r="D218" s="7" t="s">
        <v>406</v>
      </c>
      <c r="E218" s="6" t="str">
        <f t="shared" si="9"/>
        <v>tra</v>
      </c>
      <c r="F218" s="6" t="str">
        <f t="shared" si="10"/>
        <v>road</v>
      </c>
      <c r="G218" s="6" t="str">
        <f t="shared" si="11"/>
        <v>truck_ice_frei_lng_0_ag</v>
      </c>
      <c r="H218" s="7"/>
      <c r="I218" s="10" t="s">
        <v>26</v>
      </c>
    </row>
    <row r="219" spans="1:9" ht="16.2" customHeight="1" x14ac:dyDescent="0.3">
      <c r="A219" s="9"/>
      <c r="B219" s="7" t="s">
        <v>38</v>
      </c>
      <c r="C219" s="12" t="s">
        <v>410</v>
      </c>
      <c r="D219" s="7" t="s">
        <v>406</v>
      </c>
      <c r="E219" s="6" t="str">
        <f t="shared" si="9"/>
        <v>tra</v>
      </c>
      <c r="F219" s="6" t="str">
        <f t="shared" si="10"/>
        <v>road</v>
      </c>
      <c r="G219" s="6" t="str">
        <f t="shared" si="11"/>
        <v>truck_ice_frei_lpg_0_ag</v>
      </c>
      <c r="H219" s="7"/>
      <c r="I219" s="16"/>
    </row>
    <row r="220" spans="1:9" ht="16.2" customHeight="1" x14ac:dyDescent="0.3">
      <c r="A220" s="9"/>
      <c r="B220" s="7" t="s">
        <v>35</v>
      </c>
      <c r="C220" s="12" t="s">
        <v>411</v>
      </c>
      <c r="D220" s="7" t="s">
        <v>412</v>
      </c>
      <c r="E220" s="6" t="str">
        <f t="shared" si="9"/>
        <v>tra</v>
      </c>
      <c r="F220" s="6" t="str">
        <f t="shared" si="10"/>
        <v>road</v>
      </c>
      <c r="G220" s="6" t="str">
        <f t="shared" si="11"/>
        <v>truck_ice_frei_methanol_0_ag</v>
      </c>
      <c r="H220" s="7"/>
      <c r="I220" s="16"/>
    </row>
    <row r="221" spans="1:9" ht="16.2" customHeight="1" x14ac:dyDescent="0.3">
      <c r="A221" s="9"/>
      <c r="B221" s="7" t="s">
        <v>27</v>
      </c>
      <c r="C221" s="12" t="s">
        <v>413</v>
      </c>
      <c r="D221" s="7" t="s">
        <v>406</v>
      </c>
      <c r="E221" s="6" t="str">
        <f t="shared" si="9"/>
        <v>tra</v>
      </c>
      <c r="F221" s="6" t="str">
        <f t="shared" si="10"/>
        <v>road</v>
      </c>
      <c r="G221" s="6" t="str">
        <f t="shared" si="11"/>
        <v>truck_ice_frei_cng_0_ag</v>
      </c>
      <c r="H221" s="7"/>
      <c r="I221" s="10" t="s">
        <v>26</v>
      </c>
    </row>
    <row r="222" spans="1:9" ht="16.2" customHeight="1" x14ac:dyDescent="0.3">
      <c r="A222" s="9"/>
      <c r="B222" s="7" t="s">
        <v>36</v>
      </c>
      <c r="C222" s="12" t="s">
        <v>414</v>
      </c>
      <c r="D222" s="7" t="s">
        <v>412</v>
      </c>
      <c r="E222" s="6" t="str">
        <f t="shared" si="9"/>
        <v>tra</v>
      </c>
      <c r="F222" s="6" t="str">
        <f t="shared" si="10"/>
        <v>road</v>
      </c>
      <c r="G222" s="6" t="str">
        <f t="shared" si="11"/>
        <v>truck_ice_frei_ethanol_0_ag</v>
      </c>
      <c r="H222" s="7"/>
      <c r="I222" s="11"/>
    </row>
    <row r="223" spans="1:9" ht="16.2" customHeight="1" x14ac:dyDescent="0.3">
      <c r="A223" s="9"/>
      <c r="B223" s="7" t="s">
        <v>17</v>
      </c>
      <c r="C223" s="12" t="s">
        <v>415</v>
      </c>
      <c r="D223" s="7" t="s">
        <v>400</v>
      </c>
      <c r="E223" s="6" t="str">
        <f t="shared" si="9"/>
        <v>tra</v>
      </c>
      <c r="F223" s="6" t="str">
        <f t="shared" si="10"/>
        <v>road</v>
      </c>
      <c r="G223" s="6" t="str">
        <f t="shared" si="11"/>
        <v>truck_ice_frei_hydrogen_0_ag</v>
      </c>
      <c r="H223" s="7"/>
      <c r="I223" s="10" t="s">
        <v>26</v>
      </c>
    </row>
    <row r="224" spans="1:9" ht="16.2" customHeight="1" x14ac:dyDescent="0.3">
      <c r="A224" s="9"/>
      <c r="B224" s="7" t="s">
        <v>30</v>
      </c>
      <c r="C224" s="5" t="s">
        <v>416</v>
      </c>
      <c r="D224" s="7" t="s">
        <v>406</v>
      </c>
      <c r="E224" s="6" t="str">
        <f t="shared" si="9"/>
        <v>tra</v>
      </c>
      <c r="F224" s="6" t="str">
        <f t="shared" si="10"/>
        <v>road</v>
      </c>
      <c r="G224" s="6" t="str">
        <f t="shared" si="11"/>
        <v>truck_ice_frei_gasoline_0_ag</v>
      </c>
      <c r="H224" s="7"/>
      <c r="I224" s="16"/>
    </row>
    <row r="225" spans="1:9" ht="16.2" customHeight="1" x14ac:dyDescent="0.3">
      <c r="A225" s="9"/>
      <c r="B225" s="7" t="s">
        <v>13</v>
      </c>
      <c r="C225" s="19" t="s">
        <v>417</v>
      </c>
      <c r="D225" s="7" t="s">
        <v>406</v>
      </c>
      <c r="E225" s="6" t="str">
        <f t="shared" si="9"/>
        <v>tra</v>
      </c>
      <c r="F225" s="6" t="str">
        <f t="shared" si="10"/>
        <v>road</v>
      </c>
      <c r="G225" s="6" t="str">
        <f t="shared" si="11"/>
        <v>truck_ice_frei_diesel_0_ag</v>
      </c>
      <c r="H225" s="7"/>
      <c r="I225" s="10" t="s">
        <v>26</v>
      </c>
    </row>
    <row r="226" spans="1:9" ht="16.2" customHeight="1" x14ac:dyDescent="0.3">
      <c r="A226" s="9"/>
      <c r="B226" s="7" t="s">
        <v>418</v>
      </c>
      <c r="C226" s="12" t="s">
        <v>419</v>
      </c>
      <c r="D226" s="7" t="s">
        <v>346</v>
      </c>
      <c r="E226" s="6" t="str">
        <f t="shared" si="9"/>
        <v>tra</v>
      </c>
      <c r="F226" s="6" t="str">
        <f t="shared" si="10"/>
        <v>air</v>
      </c>
      <c r="G226" s="6" t="str">
        <f t="shared" si="11"/>
        <v>ice_pass_0_ag</v>
      </c>
      <c r="H226" s="7"/>
      <c r="I226" s="16"/>
    </row>
    <row r="227" spans="1:9" ht="16.2" customHeight="1" x14ac:dyDescent="0.3">
      <c r="A227" s="9"/>
      <c r="B227" s="7" t="s">
        <v>420</v>
      </c>
      <c r="C227" s="12" t="s">
        <v>421</v>
      </c>
      <c r="D227" s="7" t="s">
        <v>350</v>
      </c>
      <c r="E227" s="6" t="str">
        <f t="shared" si="9"/>
        <v>tra</v>
      </c>
      <c r="F227" s="6" t="str">
        <f t="shared" si="10"/>
        <v>rail</v>
      </c>
      <c r="G227" s="6" t="str">
        <f t="shared" si="11"/>
        <v>hyb_pass_0_ag</v>
      </c>
      <c r="H227" s="7"/>
      <c r="I227" s="11"/>
    </row>
    <row r="228" spans="1:9" ht="16.2" customHeight="1" x14ac:dyDescent="0.3">
      <c r="A228" s="9"/>
      <c r="B228" s="7" t="s">
        <v>422</v>
      </c>
      <c r="C228" s="12" t="s">
        <v>423</v>
      </c>
      <c r="D228" s="7" t="s">
        <v>350</v>
      </c>
      <c r="E228" s="6" t="str">
        <f t="shared" si="9"/>
        <v>tra</v>
      </c>
      <c r="F228" s="6" t="str">
        <f t="shared" si="10"/>
        <v>rail</v>
      </c>
      <c r="G228" s="6" t="str">
        <f t="shared" si="11"/>
        <v>ice_pass_0_ag</v>
      </c>
      <c r="H228" s="7"/>
      <c r="I228" s="10" t="s">
        <v>122</v>
      </c>
    </row>
    <row r="229" spans="1:9" ht="16.2" customHeight="1" x14ac:dyDescent="0.3">
      <c r="A229" s="9"/>
      <c r="B229" s="7" t="s">
        <v>422</v>
      </c>
      <c r="C229" s="19" t="s">
        <v>424</v>
      </c>
      <c r="D229" s="7" t="s">
        <v>360</v>
      </c>
      <c r="E229" s="6" t="str">
        <f t="shared" si="9"/>
        <v>tra</v>
      </c>
      <c r="F229" s="6" t="str">
        <f t="shared" si="10"/>
        <v>rail</v>
      </c>
      <c r="G229" s="6" t="str">
        <f t="shared" si="11"/>
        <v>ice_frei_0_ag</v>
      </c>
      <c r="H229" s="7"/>
      <c r="I229" s="10" t="s">
        <v>26</v>
      </c>
    </row>
    <row r="230" spans="1:9" ht="16.2" customHeight="1" x14ac:dyDescent="0.3">
      <c r="A230" s="9"/>
      <c r="B230" s="7" t="s">
        <v>425</v>
      </c>
      <c r="C230" s="19" t="s">
        <v>426</v>
      </c>
      <c r="D230" s="7" t="s">
        <v>176</v>
      </c>
      <c r="E230" s="6" t="str">
        <f t="shared" si="9"/>
        <v>tra</v>
      </c>
      <c r="F230" s="6" t="str">
        <f t="shared" si="10"/>
        <v>water</v>
      </c>
      <c r="G230" s="6" t="str">
        <f t="shared" si="11"/>
        <v>ice_frei_0_ag</v>
      </c>
      <c r="H230" s="7"/>
      <c r="I230" s="10" t="s">
        <v>26</v>
      </c>
    </row>
    <row r="231" spans="1:9" ht="16.2" customHeight="1" x14ac:dyDescent="0.3">
      <c r="A231" s="9"/>
      <c r="B231" s="7" t="s">
        <v>427</v>
      </c>
      <c r="C231" s="12" t="s">
        <v>428</v>
      </c>
      <c r="D231" s="7" t="s">
        <v>382</v>
      </c>
      <c r="E231" s="6" t="str">
        <f t="shared" si="9"/>
        <v>tra</v>
      </c>
      <c r="F231" s="6" t="str">
        <f t="shared" si="10"/>
        <v>road</v>
      </c>
      <c r="G231" s="6" t="str">
        <f t="shared" si="11"/>
        <v>car_hyb_pass_0_ag</v>
      </c>
      <c r="H231" s="7"/>
      <c r="I231" s="10" t="s">
        <v>26</v>
      </c>
    </row>
    <row r="232" spans="1:9" ht="16.2" customHeight="1" x14ac:dyDescent="0.3">
      <c r="A232" s="9"/>
      <c r="B232" s="7" t="s">
        <v>429</v>
      </c>
      <c r="C232" s="12" t="s">
        <v>430</v>
      </c>
      <c r="D232" s="7" t="s">
        <v>382</v>
      </c>
      <c r="E232" s="6" t="str">
        <f t="shared" si="9"/>
        <v>tra</v>
      </c>
      <c r="F232" s="6" t="str">
        <f t="shared" si="10"/>
        <v>road</v>
      </c>
      <c r="G232" s="6" t="str">
        <f t="shared" si="11"/>
        <v>car_ice_pass_0_ag</v>
      </c>
      <c r="H232" s="7"/>
      <c r="I232" s="10" t="s">
        <v>26</v>
      </c>
    </row>
    <row r="233" spans="1:9" ht="16.2" customHeight="1" x14ac:dyDescent="0.3">
      <c r="A233" s="9"/>
      <c r="B233" s="7" t="s">
        <v>429</v>
      </c>
      <c r="C233" s="12" t="s">
        <v>431</v>
      </c>
      <c r="D233" s="7" t="s">
        <v>406</v>
      </c>
      <c r="E233" s="6" t="str">
        <f t="shared" si="9"/>
        <v>tra</v>
      </c>
      <c r="F233" s="6" t="str">
        <f t="shared" si="10"/>
        <v>road</v>
      </c>
      <c r="G233" s="6" t="str">
        <f t="shared" si="11"/>
        <v>truck_ice_frei_0_ag</v>
      </c>
      <c r="H233" s="7"/>
      <c r="I233" s="10" t="s">
        <v>24</v>
      </c>
    </row>
    <row r="234" spans="1:9" ht="16.2" customHeight="1" x14ac:dyDescent="0.3">
      <c r="A234" s="9"/>
      <c r="B234" s="7" t="s">
        <v>427</v>
      </c>
      <c r="C234" s="12" t="s">
        <v>432</v>
      </c>
      <c r="D234" s="7" t="s">
        <v>406</v>
      </c>
      <c r="E234" s="6" t="str">
        <f t="shared" si="9"/>
        <v>tra</v>
      </c>
      <c r="F234" s="6" t="str">
        <f t="shared" si="10"/>
        <v>road</v>
      </c>
      <c r="G234" s="6" t="str">
        <f t="shared" si="11"/>
        <v>truck_hyb_frei_0_ag</v>
      </c>
      <c r="H234" s="7"/>
      <c r="I234" s="10" t="s">
        <v>24</v>
      </c>
    </row>
    <row r="235" spans="1:9" ht="16.2" customHeight="1" x14ac:dyDescent="0.3">
      <c r="A235" s="9"/>
      <c r="B235" s="7" t="s">
        <v>433</v>
      </c>
      <c r="C235" s="12" t="s">
        <v>434</v>
      </c>
      <c r="D235" s="8" t="s">
        <v>400</v>
      </c>
      <c r="E235" s="6" t="str">
        <f t="shared" si="9"/>
        <v>tra</v>
      </c>
      <c r="F235" s="6" t="str">
        <f t="shared" si="10"/>
        <v>road</v>
      </c>
      <c r="G235" s="6" t="str">
        <f t="shared" si="11"/>
        <v>truck_fcev_frei_0_ag</v>
      </c>
      <c r="H235" s="7"/>
      <c r="I235" s="10" t="s">
        <v>26</v>
      </c>
    </row>
    <row r="236" spans="1:9" ht="16.2" customHeight="1" x14ac:dyDescent="0.3">
      <c r="A236" s="9"/>
      <c r="B236" s="7" t="s">
        <v>17</v>
      </c>
      <c r="C236" s="5" t="s">
        <v>435</v>
      </c>
      <c r="D236" s="7" t="s">
        <v>124</v>
      </c>
      <c r="E236" s="6" t="str">
        <f t="shared" si="9"/>
        <v>tra</v>
      </c>
      <c r="F236" s="6" t="str">
        <f t="shared" si="10"/>
        <v>air</v>
      </c>
      <c r="G236" s="6" t="str">
        <f t="shared" si="11"/>
        <v>fcev_pass_natio_hydrogen_1</v>
      </c>
      <c r="H236" s="7"/>
      <c r="I236" s="10" t="s">
        <v>26</v>
      </c>
    </row>
    <row r="237" spans="1:9" ht="16.2" customHeight="1" x14ac:dyDescent="0.3">
      <c r="A237" s="9"/>
      <c r="B237" s="7" t="s">
        <v>17</v>
      </c>
      <c r="C237" s="5" t="s">
        <v>436</v>
      </c>
      <c r="D237" s="7" t="s">
        <v>126</v>
      </c>
      <c r="E237" s="6" t="str">
        <f t="shared" si="9"/>
        <v>tra</v>
      </c>
      <c r="F237" s="6" t="str">
        <f t="shared" si="10"/>
        <v>air</v>
      </c>
      <c r="G237" s="6" t="str">
        <f t="shared" si="11"/>
        <v>fcev_pass_europ_hydrogen_1</v>
      </c>
      <c r="H237" s="7"/>
      <c r="I237" s="10" t="s">
        <v>26</v>
      </c>
    </row>
    <row r="238" spans="1:9" ht="16.2" customHeight="1" x14ac:dyDescent="0.3">
      <c r="A238" s="9"/>
      <c r="B238" s="7" t="s">
        <v>34</v>
      </c>
      <c r="C238" s="5" t="s">
        <v>437</v>
      </c>
      <c r="D238" s="7" t="s">
        <v>128</v>
      </c>
      <c r="E238" s="6" t="str">
        <f t="shared" si="9"/>
        <v>tra</v>
      </c>
      <c r="F238" s="6" t="str">
        <f t="shared" si="10"/>
        <v>air</v>
      </c>
      <c r="G238" s="6" t="str">
        <f t="shared" si="11"/>
        <v>ice_pass_natio_kerosene_1</v>
      </c>
      <c r="H238" s="7"/>
      <c r="I238" s="11"/>
    </row>
    <row r="239" spans="1:9" ht="16.2" customHeight="1" x14ac:dyDescent="0.3">
      <c r="A239" s="9"/>
      <c r="B239" s="7" t="s">
        <v>34</v>
      </c>
      <c r="C239" s="5" t="s">
        <v>438</v>
      </c>
      <c r="D239" s="7" t="s">
        <v>130</v>
      </c>
      <c r="E239" s="6" t="str">
        <f t="shared" si="9"/>
        <v>tra</v>
      </c>
      <c r="F239" s="6" t="str">
        <f t="shared" si="10"/>
        <v>air</v>
      </c>
      <c r="G239" s="6" t="str">
        <f t="shared" si="11"/>
        <v>ice_pass_europ_kerosene_1</v>
      </c>
      <c r="H239" s="7"/>
      <c r="I239" s="10" t="s">
        <v>122</v>
      </c>
    </row>
    <row r="240" spans="1:9" ht="16.2" customHeight="1" x14ac:dyDescent="0.3">
      <c r="A240" s="9"/>
      <c r="B240" s="7" t="s">
        <v>34</v>
      </c>
      <c r="C240" s="5" t="s">
        <v>439</v>
      </c>
      <c r="D240" s="7" t="s">
        <v>132</v>
      </c>
      <c r="E240" s="6" t="str">
        <f t="shared" ref="E240:E303" si="12">_xlfn.TEXTBEFORE($C240,"_")</f>
        <v>tra</v>
      </c>
      <c r="F240" s="6" t="str">
        <f t="shared" ref="F240:F303" si="13">_xlfn.TEXTBEFORE(_xlfn.TEXTAFTER($C240,_xlfn.CONCAT(E240,"_")),"_")</f>
        <v>air</v>
      </c>
      <c r="G240" s="6" t="str">
        <f t="shared" ref="G240:G303" si="14">_xlfn.TEXTAFTER($C240,_xlfn.CONCAT(F240,"_"))</f>
        <v>ice_pass_inter_kerosene_1</v>
      </c>
      <c r="H240" s="7"/>
      <c r="I240" s="10" t="s">
        <v>26</v>
      </c>
    </row>
    <row r="241" spans="1:9" ht="16.2" customHeight="1" x14ac:dyDescent="0.3">
      <c r="A241" s="9"/>
      <c r="B241" s="7" t="s">
        <v>133</v>
      </c>
      <c r="C241" s="5" t="s">
        <v>440</v>
      </c>
      <c r="D241" s="7" t="s">
        <v>128</v>
      </c>
      <c r="E241" s="6" t="str">
        <f t="shared" si="12"/>
        <v>tra</v>
      </c>
      <c r="F241" s="6" t="str">
        <f t="shared" si="13"/>
        <v>air</v>
      </c>
      <c r="G241" s="6" t="str">
        <f t="shared" si="14"/>
        <v>hyb_pass_natio_kerosene_1</v>
      </c>
      <c r="H241" s="7"/>
      <c r="I241" s="10" t="s">
        <v>26</v>
      </c>
    </row>
    <row r="242" spans="1:9" ht="16.2" customHeight="1" x14ac:dyDescent="0.3">
      <c r="A242" s="9"/>
      <c r="B242" s="7" t="s">
        <v>133</v>
      </c>
      <c r="C242" s="5" t="s">
        <v>441</v>
      </c>
      <c r="D242" s="7" t="s">
        <v>130</v>
      </c>
      <c r="E242" s="6" t="str">
        <f t="shared" si="12"/>
        <v>tra</v>
      </c>
      <c r="F242" s="6" t="str">
        <f t="shared" si="13"/>
        <v>air</v>
      </c>
      <c r="G242" s="6" t="str">
        <f t="shared" si="14"/>
        <v>hyb_pass_europ_kerosene_1</v>
      </c>
      <c r="H242" s="7"/>
      <c r="I242" s="10" t="s">
        <v>24</v>
      </c>
    </row>
    <row r="243" spans="1:9" ht="16.2" customHeight="1" x14ac:dyDescent="0.3">
      <c r="A243" s="9"/>
      <c r="B243" s="7" t="s">
        <v>17</v>
      </c>
      <c r="C243" s="5" t="s">
        <v>442</v>
      </c>
      <c r="D243" s="7" t="s">
        <v>124</v>
      </c>
      <c r="E243" s="6" t="str">
        <f t="shared" si="12"/>
        <v>tra</v>
      </c>
      <c r="F243" s="6" t="str">
        <f t="shared" si="13"/>
        <v>air</v>
      </c>
      <c r="G243" s="6" t="str">
        <f t="shared" si="14"/>
        <v>ice_pass_natio_hydrogen_1</v>
      </c>
      <c r="H243" s="7"/>
      <c r="I243" s="10" t="s">
        <v>26</v>
      </c>
    </row>
    <row r="244" spans="1:9" ht="16.2" customHeight="1" x14ac:dyDescent="0.3">
      <c r="A244" s="9"/>
      <c r="B244" s="5" t="s">
        <v>17</v>
      </c>
      <c r="C244" s="5" t="s">
        <v>443</v>
      </c>
      <c r="D244" s="7" t="s">
        <v>126</v>
      </c>
      <c r="E244" s="6" t="str">
        <f t="shared" si="12"/>
        <v>tra</v>
      </c>
      <c r="F244" s="6" t="str">
        <f t="shared" si="13"/>
        <v>air</v>
      </c>
      <c r="G244" s="6" t="str">
        <f t="shared" si="14"/>
        <v>ice_pass_europ_hydrogen_1</v>
      </c>
      <c r="H244" s="7"/>
      <c r="I244" s="10" t="s">
        <v>26</v>
      </c>
    </row>
    <row r="245" spans="1:9" ht="16.2" customHeight="1" x14ac:dyDescent="0.3">
      <c r="A245" s="9"/>
      <c r="B245" s="7" t="s">
        <v>13</v>
      </c>
      <c r="C245" s="5" t="s">
        <v>444</v>
      </c>
      <c r="D245" s="7" t="s">
        <v>139</v>
      </c>
      <c r="E245" s="6" t="str">
        <f t="shared" si="12"/>
        <v>tra</v>
      </c>
      <c r="F245" s="6" t="str">
        <f t="shared" si="13"/>
        <v>rail</v>
      </c>
      <c r="G245" s="6" t="str">
        <f t="shared" si="14"/>
        <v>ice_pass_short_diesel_1</v>
      </c>
      <c r="H245" s="7"/>
      <c r="I245" s="10" t="s">
        <v>24</v>
      </c>
    </row>
    <row r="246" spans="1:9" ht="16.2" customHeight="1" x14ac:dyDescent="0.3">
      <c r="A246" s="9"/>
      <c r="B246" s="7" t="s">
        <v>13</v>
      </c>
      <c r="C246" s="5" t="s">
        <v>445</v>
      </c>
      <c r="D246" s="7" t="s">
        <v>141</v>
      </c>
      <c r="E246" s="6" t="str">
        <f t="shared" si="12"/>
        <v>tra</v>
      </c>
      <c r="F246" s="6" t="str">
        <f t="shared" si="13"/>
        <v>rail</v>
      </c>
      <c r="G246" s="6" t="str">
        <f t="shared" si="14"/>
        <v>ice_pass_long_diesel_1</v>
      </c>
      <c r="H246" s="7"/>
      <c r="I246" s="10" t="s">
        <v>24</v>
      </c>
    </row>
    <row r="247" spans="1:9" ht="16.2" customHeight="1" x14ac:dyDescent="0.3">
      <c r="A247" s="9"/>
      <c r="B247" s="7" t="s">
        <v>36</v>
      </c>
      <c r="C247" s="17" t="s">
        <v>446</v>
      </c>
      <c r="D247" s="7" t="s">
        <v>143</v>
      </c>
      <c r="E247" s="6" t="str">
        <f t="shared" si="12"/>
        <v>tra</v>
      </c>
      <c r="F247" s="6" t="str">
        <f t="shared" si="13"/>
        <v>rail</v>
      </c>
      <c r="G247" s="6" t="str">
        <f t="shared" si="14"/>
        <v>ice_pass_short_ethanol_1</v>
      </c>
      <c r="H247" s="7"/>
      <c r="I247" s="10" t="s">
        <v>26</v>
      </c>
    </row>
    <row r="248" spans="1:9" ht="16.2" customHeight="1" x14ac:dyDescent="0.3">
      <c r="A248" s="9"/>
      <c r="B248" s="7" t="s">
        <v>36</v>
      </c>
      <c r="C248" s="5" t="s">
        <v>447</v>
      </c>
      <c r="D248" s="7" t="s">
        <v>145</v>
      </c>
      <c r="E248" s="6" t="str">
        <f t="shared" si="12"/>
        <v>tra</v>
      </c>
      <c r="F248" s="6" t="str">
        <f t="shared" si="13"/>
        <v>rail</v>
      </c>
      <c r="G248" s="6" t="str">
        <f t="shared" si="14"/>
        <v>ice_pass_long_ethanol_1</v>
      </c>
      <c r="H248" s="7"/>
      <c r="I248" s="10" t="s">
        <v>26</v>
      </c>
    </row>
    <row r="249" spans="1:9" ht="16.2" customHeight="1" x14ac:dyDescent="0.3">
      <c r="A249" s="9"/>
      <c r="B249" s="7" t="s">
        <v>17</v>
      </c>
      <c r="C249" s="17" t="s">
        <v>448</v>
      </c>
      <c r="D249" s="7" t="s">
        <v>147</v>
      </c>
      <c r="E249" s="6" t="str">
        <f t="shared" si="12"/>
        <v>tra</v>
      </c>
      <c r="F249" s="6" t="str">
        <f t="shared" si="13"/>
        <v>rail</v>
      </c>
      <c r="G249" s="6" t="str">
        <f t="shared" si="14"/>
        <v>fcev_pass_short_hydrogen_1</v>
      </c>
      <c r="H249" s="7"/>
      <c r="I249" s="10" t="s">
        <v>26</v>
      </c>
    </row>
    <row r="250" spans="1:9" ht="16.2" customHeight="1" x14ac:dyDescent="0.3">
      <c r="A250" s="9"/>
      <c r="B250" s="7" t="s">
        <v>17</v>
      </c>
      <c r="C250" s="17" t="s">
        <v>449</v>
      </c>
      <c r="D250" s="7" t="s">
        <v>149</v>
      </c>
      <c r="E250" s="6" t="str">
        <f t="shared" si="12"/>
        <v>tra</v>
      </c>
      <c r="F250" s="6" t="str">
        <f t="shared" si="13"/>
        <v>rail</v>
      </c>
      <c r="G250" s="6" t="str">
        <f t="shared" si="14"/>
        <v>fcev_pass_long_hydrogen_1</v>
      </c>
      <c r="H250" s="7"/>
      <c r="I250" s="11"/>
    </row>
    <row r="251" spans="1:9" ht="16.2" customHeight="1" x14ac:dyDescent="0.3">
      <c r="A251" s="9"/>
      <c r="B251" s="7" t="s">
        <v>150</v>
      </c>
      <c r="C251" s="5" t="s">
        <v>450</v>
      </c>
      <c r="D251" s="7" t="s">
        <v>147</v>
      </c>
      <c r="E251" s="6" t="str">
        <f t="shared" si="12"/>
        <v>tra</v>
      </c>
      <c r="F251" s="6" t="str">
        <f t="shared" si="13"/>
        <v>rail</v>
      </c>
      <c r="G251" s="6" t="str">
        <f t="shared" si="14"/>
        <v>hyb_pass_short_hydrogen_1</v>
      </c>
      <c r="H251" s="7"/>
      <c r="I251" s="10" t="s">
        <v>122</v>
      </c>
    </row>
    <row r="252" spans="1:9" ht="16.2" customHeight="1" x14ac:dyDescent="0.3">
      <c r="A252" s="9"/>
      <c r="B252" s="7" t="s">
        <v>152</v>
      </c>
      <c r="C252" s="5" t="s">
        <v>451</v>
      </c>
      <c r="D252" s="7" t="s">
        <v>139</v>
      </c>
      <c r="E252" s="6" t="str">
        <f t="shared" si="12"/>
        <v>tra</v>
      </c>
      <c r="F252" s="6" t="str">
        <f t="shared" si="13"/>
        <v>rail</v>
      </c>
      <c r="G252" s="6" t="str">
        <f t="shared" si="14"/>
        <v>hyb_pass_short_diesel_1</v>
      </c>
      <c r="H252" s="7"/>
      <c r="I252" s="10" t="s">
        <v>26</v>
      </c>
    </row>
    <row r="253" spans="1:9" ht="16.2" customHeight="1" x14ac:dyDescent="0.3">
      <c r="A253" s="9"/>
      <c r="B253" s="7" t="s">
        <v>15</v>
      </c>
      <c r="C253" s="5" t="s">
        <v>452</v>
      </c>
      <c r="D253" s="7" t="s">
        <v>147</v>
      </c>
      <c r="E253" s="6" t="str">
        <f t="shared" si="12"/>
        <v>tra</v>
      </c>
      <c r="F253" s="6" t="str">
        <f t="shared" si="13"/>
        <v>rail</v>
      </c>
      <c r="G253" s="6" t="str">
        <f t="shared" si="14"/>
        <v>oev_pass_short_1</v>
      </c>
      <c r="H253" s="7"/>
      <c r="I253" s="10" t="s">
        <v>26</v>
      </c>
    </row>
    <row r="254" spans="1:9" ht="16.2" customHeight="1" x14ac:dyDescent="0.3">
      <c r="A254" s="9"/>
      <c r="B254" s="7" t="s">
        <v>15</v>
      </c>
      <c r="C254" s="5" t="s">
        <v>453</v>
      </c>
      <c r="D254" s="7" t="s">
        <v>149</v>
      </c>
      <c r="E254" s="6" t="str">
        <f t="shared" si="12"/>
        <v>tra</v>
      </c>
      <c r="F254" s="6" t="str">
        <f t="shared" si="13"/>
        <v>rail</v>
      </c>
      <c r="G254" s="6" t="str">
        <f t="shared" si="14"/>
        <v>oev_pass_long_1</v>
      </c>
      <c r="H254" s="7"/>
      <c r="I254" s="10" t="s">
        <v>24</v>
      </c>
    </row>
    <row r="255" spans="1:9" ht="16.2" customHeight="1" x14ac:dyDescent="0.3">
      <c r="A255" s="9"/>
      <c r="B255" s="7" t="s">
        <v>15</v>
      </c>
      <c r="C255" s="5" t="s">
        <v>454</v>
      </c>
      <c r="D255" s="7" t="s">
        <v>147</v>
      </c>
      <c r="E255" s="6" t="str">
        <f t="shared" si="12"/>
        <v>tra</v>
      </c>
      <c r="F255" s="6" t="str">
        <f t="shared" si="13"/>
        <v>rail</v>
      </c>
      <c r="G255" s="6" t="str">
        <f t="shared" si="14"/>
        <v>bemu_pass_short_1</v>
      </c>
      <c r="H255" s="7"/>
      <c r="I255" s="10" t="s">
        <v>26</v>
      </c>
    </row>
    <row r="256" spans="1:9" ht="16.2" customHeight="1" x14ac:dyDescent="0.3">
      <c r="A256" s="9"/>
      <c r="B256" s="7" t="s">
        <v>15</v>
      </c>
      <c r="C256" s="5" t="s">
        <v>455</v>
      </c>
      <c r="D256" s="7" t="s">
        <v>149</v>
      </c>
      <c r="E256" s="6" t="str">
        <f t="shared" si="12"/>
        <v>tra</v>
      </c>
      <c r="F256" s="6" t="str">
        <f t="shared" si="13"/>
        <v>rail</v>
      </c>
      <c r="G256" s="6" t="str">
        <f t="shared" si="14"/>
        <v>bemu_pass_long_1</v>
      </c>
      <c r="H256" s="7"/>
      <c r="I256" s="10" t="s">
        <v>24</v>
      </c>
    </row>
    <row r="257" spans="1:9" ht="16.2" customHeight="1" x14ac:dyDescent="0.3">
      <c r="A257" s="9"/>
      <c r="B257" s="7" t="s">
        <v>15</v>
      </c>
      <c r="C257" s="5" t="s">
        <v>456</v>
      </c>
      <c r="D257" s="7" t="s">
        <v>159</v>
      </c>
      <c r="E257" s="6" t="str">
        <f t="shared" si="12"/>
        <v>tra</v>
      </c>
      <c r="F257" s="6" t="str">
        <f t="shared" si="13"/>
        <v>rail</v>
      </c>
      <c r="G257" s="6" t="str">
        <f t="shared" si="14"/>
        <v>oev_frei_long_1</v>
      </c>
      <c r="H257" s="7"/>
      <c r="I257" s="10" t="s">
        <v>24</v>
      </c>
    </row>
    <row r="258" spans="1:9" ht="16.2" customHeight="1" x14ac:dyDescent="0.3">
      <c r="A258" s="9"/>
      <c r="B258" s="7" t="s">
        <v>17</v>
      </c>
      <c r="C258" s="5" t="s">
        <v>457</v>
      </c>
      <c r="D258" s="7" t="s">
        <v>161</v>
      </c>
      <c r="E258" s="6" t="str">
        <f t="shared" si="12"/>
        <v>tra</v>
      </c>
      <c r="F258" s="6" t="str">
        <f t="shared" si="13"/>
        <v>rail</v>
      </c>
      <c r="G258" s="6" t="str">
        <f t="shared" si="14"/>
        <v>fcev_frei_short_hydrogen_1</v>
      </c>
      <c r="H258" s="7"/>
      <c r="I258" s="10" t="s">
        <v>26</v>
      </c>
    </row>
    <row r="259" spans="1:9" ht="16.2" customHeight="1" x14ac:dyDescent="0.3">
      <c r="A259" s="9"/>
      <c r="B259" s="7" t="s">
        <v>17</v>
      </c>
      <c r="C259" s="5" t="s">
        <v>458</v>
      </c>
      <c r="D259" s="7" t="s">
        <v>159</v>
      </c>
      <c r="E259" s="6" t="str">
        <f t="shared" si="12"/>
        <v>tra</v>
      </c>
      <c r="F259" s="6" t="str">
        <f t="shared" si="13"/>
        <v>rail</v>
      </c>
      <c r="G259" s="6" t="str">
        <f t="shared" si="14"/>
        <v>fcev_frei_long_hydrogen_1</v>
      </c>
      <c r="H259" s="7"/>
      <c r="I259" s="10" t="s">
        <v>26</v>
      </c>
    </row>
    <row r="260" spans="1:9" ht="16.2" customHeight="1" x14ac:dyDescent="0.3">
      <c r="A260" s="9"/>
      <c r="B260" s="7" t="s">
        <v>13</v>
      </c>
      <c r="C260" s="5" t="s">
        <v>459</v>
      </c>
      <c r="D260" s="7" t="s">
        <v>164</v>
      </c>
      <c r="E260" s="6" t="str">
        <f t="shared" si="12"/>
        <v>tra</v>
      </c>
      <c r="F260" s="6" t="str">
        <f t="shared" si="13"/>
        <v>rail</v>
      </c>
      <c r="G260" s="6" t="str">
        <f t="shared" si="14"/>
        <v>ice_frei_short_diesel_1</v>
      </c>
      <c r="H260" s="7"/>
      <c r="I260" s="10" t="s">
        <v>26</v>
      </c>
    </row>
    <row r="261" spans="1:9" ht="16.2" customHeight="1" x14ac:dyDescent="0.3">
      <c r="A261" s="9"/>
      <c r="B261" s="7" t="s">
        <v>13</v>
      </c>
      <c r="C261" s="5" t="s">
        <v>460</v>
      </c>
      <c r="D261" s="7" t="s">
        <v>166</v>
      </c>
      <c r="E261" s="6" t="str">
        <f t="shared" si="12"/>
        <v>tra</v>
      </c>
      <c r="F261" s="6" t="str">
        <f t="shared" si="13"/>
        <v>rail</v>
      </c>
      <c r="G261" s="6" t="str">
        <f t="shared" si="14"/>
        <v>ice_frei_long_diesel_1</v>
      </c>
      <c r="H261" s="7"/>
      <c r="I261" s="10" t="s">
        <v>24</v>
      </c>
    </row>
    <row r="262" spans="1:9" ht="16.2" customHeight="1" x14ac:dyDescent="0.3">
      <c r="A262" s="9"/>
      <c r="B262" s="7" t="s">
        <v>39</v>
      </c>
      <c r="C262" s="5" t="s">
        <v>461</v>
      </c>
      <c r="D262" s="7" t="s">
        <v>168</v>
      </c>
      <c r="E262" s="6" t="str">
        <f t="shared" si="12"/>
        <v>tra</v>
      </c>
      <c r="F262" s="6" t="str">
        <f t="shared" si="13"/>
        <v>rail</v>
      </c>
      <c r="G262" s="6" t="str">
        <f t="shared" si="14"/>
        <v>ice_frei_short_ammonia_1</v>
      </c>
      <c r="H262" s="7"/>
      <c r="I262" s="10" t="s">
        <v>26</v>
      </c>
    </row>
    <row r="263" spans="1:9" ht="16.2" customHeight="1" x14ac:dyDescent="0.3">
      <c r="A263" s="9"/>
      <c r="B263" s="7" t="s">
        <v>36</v>
      </c>
      <c r="C263" s="5" t="s">
        <v>462</v>
      </c>
      <c r="D263" s="7" t="s">
        <v>168</v>
      </c>
      <c r="E263" s="6" t="str">
        <f t="shared" si="12"/>
        <v>tra</v>
      </c>
      <c r="F263" s="6" t="str">
        <f t="shared" si="13"/>
        <v>rail</v>
      </c>
      <c r="G263" s="6" t="str">
        <f t="shared" si="14"/>
        <v>ice_frei_short_ethanol_1</v>
      </c>
      <c r="H263" s="7"/>
      <c r="I263" s="10" t="s">
        <v>24</v>
      </c>
    </row>
    <row r="264" spans="1:9" ht="16.2" customHeight="1" x14ac:dyDescent="0.3">
      <c r="A264" s="9"/>
      <c r="B264" s="7" t="s">
        <v>36</v>
      </c>
      <c r="C264" s="17" t="s">
        <v>463</v>
      </c>
      <c r="D264" s="7" t="s">
        <v>171</v>
      </c>
      <c r="E264" s="6" t="str">
        <f t="shared" si="12"/>
        <v>tra</v>
      </c>
      <c r="F264" s="6" t="str">
        <f t="shared" si="13"/>
        <v>rail</v>
      </c>
      <c r="G264" s="6" t="str">
        <f t="shared" si="14"/>
        <v>ice_frei_long_ethanol_1</v>
      </c>
      <c r="H264" s="7"/>
      <c r="I264" s="10" t="s">
        <v>122</v>
      </c>
    </row>
    <row r="265" spans="1:9" ht="16.2" customHeight="1" x14ac:dyDescent="0.3">
      <c r="A265" s="9"/>
      <c r="B265" s="7" t="s">
        <v>39</v>
      </c>
      <c r="C265" s="5" t="s">
        <v>464</v>
      </c>
      <c r="D265" s="7" t="s">
        <v>171</v>
      </c>
      <c r="E265" s="6" t="str">
        <f t="shared" si="12"/>
        <v>tra</v>
      </c>
      <c r="F265" s="6" t="str">
        <f t="shared" si="13"/>
        <v>rail</v>
      </c>
      <c r="G265" s="6" t="str">
        <f t="shared" si="14"/>
        <v>ice_frei_long_ammonia_1</v>
      </c>
      <c r="H265" s="7"/>
      <c r="I265" s="10" t="s">
        <v>26</v>
      </c>
    </row>
    <row r="266" spans="1:9" ht="16.2" customHeight="1" x14ac:dyDescent="0.3">
      <c r="A266" s="9"/>
      <c r="B266" s="7" t="s">
        <v>17</v>
      </c>
      <c r="C266" s="5" t="s">
        <v>465</v>
      </c>
      <c r="D266" s="7" t="s">
        <v>174</v>
      </c>
      <c r="E266" s="6" t="str">
        <f t="shared" si="12"/>
        <v>tra</v>
      </c>
      <c r="F266" s="6" t="str">
        <f t="shared" si="13"/>
        <v>water</v>
      </c>
      <c r="G266" s="6" t="str">
        <f t="shared" si="14"/>
        <v>fcev_frei_hydrogen_1</v>
      </c>
      <c r="H266" s="7"/>
      <c r="I266" s="10" t="s">
        <v>26</v>
      </c>
    </row>
    <row r="267" spans="1:9" ht="16.2" customHeight="1" x14ac:dyDescent="0.3">
      <c r="A267" s="9"/>
      <c r="B267" s="7" t="s">
        <v>11</v>
      </c>
      <c r="C267" s="17" t="s">
        <v>466</v>
      </c>
      <c r="D267" s="7" t="s">
        <v>176</v>
      </c>
      <c r="E267" s="6" t="str">
        <f t="shared" si="12"/>
        <v>tra</v>
      </c>
      <c r="F267" s="6" t="str">
        <f t="shared" si="13"/>
        <v>water</v>
      </c>
      <c r="G267" s="6" t="str">
        <f t="shared" si="14"/>
        <v>ice_frei_lng_1</v>
      </c>
      <c r="H267" s="7"/>
      <c r="I267" s="10" t="s">
        <v>26</v>
      </c>
    </row>
    <row r="268" spans="1:9" ht="16.2" customHeight="1" x14ac:dyDescent="0.3">
      <c r="A268" s="9"/>
      <c r="B268" s="7" t="s">
        <v>35</v>
      </c>
      <c r="C268" s="17" t="s">
        <v>467</v>
      </c>
      <c r="D268" s="7" t="s">
        <v>178</v>
      </c>
      <c r="E268" s="6" t="str">
        <f t="shared" si="12"/>
        <v>tra</v>
      </c>
      <c r="F268" s="6" t="str">
        <f t="shared" si="13"/>
        <v>water</v>
      </c>
      <c r="G268" s="6" t="str">
        <f t="shared" si="14"/>
        <v>ice_frei_methanol_1</v>
      </c>
      <c r="H268" s="7"/>
      <c r="I268" s="10" t="s">
        <v>24</v>
      </c>
    </row>
    <row r="269" spans="1:9" ht="16.2" customHeight="1" x14ac:dyDescent="0.3">
      <c r="A269" s="9"/>
      <c r="B269" s="7" t="s">
        <v>36</v>
      </c>
      <c r="C269" s="5" t="s">
        <v>468</v>
      </c>
      <c r="D269" s="7" t="s">
        <v>178</v>
      </c>
      <c r="E269" s="6" t="str">
        <f t="shared" si="12"/>
        <v>tra</v>
      </c>
      <c r="F269" s="6" t="str">
        <f t="shared" si="13"/>
        <v>water</v>
      </c>
      <c r="G269" s="6" t="str">
        <f t="shared" si="14"/>
        <v>ice_frei_ethanol_1</v>
      </c>
      <c r="H269" s="7"/>
      <c r="I269" s="10" t="s">
        <v>24</v>
      </c>
    </row>
    <row r="270" spans="1:9" ht="16.2" customHeight="1" x14ac:dyDescent="0.3">
      <c r="A270" s="9"/>
      <c r="B270" s="7" t="s">
        <v>39</v>
      </c>
      <c r="C270" s="5" t="s">
        <v>469</v>
      </c>
      <c r="D270" s="7" t="s">
        <v>174</v>
      </c>
      <c r="E270" s="6" t="str">
        <f t="shared" si="12"/>
        <v>tra</v>
      </c>
      <c r="F270" s="6" t="str">
        <f t="shared" si="13"/>
        <v>water</v>
      </c>
      <c r="G270" s="6" t="str">
        <f t="shared" si="14"/>
        <v>ice_frei_ammonia_1</v>
      </c>
      <c r="H270" s="7"/>
      <c r="I270" s="10" t="s">
        <v>26</v>
      </c>
    </row>
    <row r="271" spans="1:9" ht="16.2" customHeight="1" x14ac:dyDescent="0.3">
      <c r="A271" s="9"/>
      <c r="B271" s="7" t="s">
        <v>13</v>
      </c>
      <c r="C271" s="5" t="s">
        <v>470</v>
      </c>
      <c r="D271" s="7" t="s">
        <v>176</v>
      </c>
      <c r="E271" s="6" t="str">
        <f t="shared" si="12"/>
        <v>tra</v>
      </c>
      <c r="F271" s="6" t="str">
        <f t="shared" si="13"/>
        <v>water</v>
      </c>
      <c r="G271" s="6" t="str">
        <f t="shared" si="14"/>
        <v>ice_frei_diesel_1</v>
      </c>
      <c r="H271" s="7"/>
      <c r="I271" s="10" t="s">
        <v>24</v>
      </c>
    </row>
    <row r="272" spans="1:9" ht="16.2" customHeight="1" x14ac:dyDescent="0.3">
      <c r="A272" s="9"/>
      <c r="B272" s="7" t="s">
        <v>17</v>
      </c>
      <c r="C272" s="5" t="s">
        <v>471</v>
      </c>
      <c r="D272" s="7" t="s">
        <v>174</v>
      </c>
      <c r="E272" s="6" t="str">
        <f t="shared" si="12"/>
        <v>tra</v>
      </c>
      <c r="F272" s="6" t="str">
        <f t="shared" si="13"/>
        <v>water</v>
      </c>
      <c r="G272" s="6" t="str">
        <f t="shared" si="14"/>
        <v>ice_frei_hydrogen_1</v>
      </c>
      <c r="H272" s="7"/>
      <c r="I272" s="10" t="s">
        <v>24</v>
      </c>
    </row>
    <row r="273" spans="1:9" ht="16.2" customHeight="1" x14ac:dyDescent="0.3">
      <c r="A273" s="9"/>
      <c r="B273" s="7" t="s">
        <v>17</v>
      </c>
      <c r="C273" s="5" t="s">
        <v>472</v>
      </c>
      <c r="D273" s="7" t="s">
        <v>184</v>
      </c>
      <c r="E273" s="6" t="str">
        <f t="shared" si="12"/>
        <v>tra</v>
      </c>
      <c r="F273" s="6" t="str">
        <f t="shared" si="13"/>
        <v>road</v>
      </c>
      <c r="G273" s="6" t="str">
        <f t="shared" si="14"/>
        <v>bus_fcev_pass_short_hydrogen_1</v>
      </c>
      <c r="H273" s="7"/>
      <c r="I273" s="10" t="s">
        <v>26</v>
      </c>
    </row>
    <row r="274" spans="1:9" ht="16.2" customHeight="1" x14ac:dyDescent="0.3">
      <c r="A274" s="9"/>
      <c r="B274" s="7" t="s">
        <v>17</v>
      </c>
      <c r="C274" s="5" t="s">
        <v>473</v>
      </c>
      <c r="D274" s="7" t="s">
        <v>186</v>
      </c>
      <c r="E274" s="6" t="str">
        <f t="shared" si="12"/>
        <v>tra</v>
      </c>
      <c r="F274" s="6" t="str">
        <f t="shared" si="13"/>
        <v>road</v>
      </c>
      <c r="G274" s="6" t="str">
        <f t="shared" si="14"/>
        <v>bus_fcev_pass_long_hydrogen_1</v>
      </c>
      <c r="H274" s="7"/>
      <c r="I274" s="10" t="s">
        <v>26</v>
      </c>
    </row>
    <row r="275" spans="1:9" ht="16.2" customHeight="1" x14ac:dyDescent="0.3">
      <c r="A275" s="9"/>
      <c r="B275" s="7" t="s">
        <v>152</v>
      </c>
      <c r="C275" s="5" t="s">
        <v>474</v>
      </c>
      <c r="D275" s="7" t="s">
        <v>188</v>
      </c>
      <c r="E275" s="6" t="str">
        <f t="shared" si="12"/>
        <v>tra</v>
      </c>
      <c r="F275" s="6" t="str">
        <f t="shared" si="13"/>
        <v>road</v>
      </c>
      <c r="G275" s="6" t="str">
        <f t="shared" si="14"/>
        <v>bus_hyb_pass_short_diesel_1</v>
      </c>
      <c r="H275" s="7"/>
      <c r="I275" s="10" t="s">
        <v>24</v>
      </c>
    </row>
    <row r="276" spans="1:9" ht="16.2" customHeight="1" x14ac:dyDescent="0.3">
      <c r="A276" s="9"/>
      <c r="B276" s="7" t="s">
        <v>15</v>
      </c>
      <c r="C276" s="5" t="s">
        <v>475</v>
      </c>
      <c r="D276" s="7" t="s">
        <v>186</v>
      </c>
      <c r="E276" s="6" t="str">
        <f t="shared" si="12"/>
        <v>tra</v>
      </c>
      <c r="F276" s="6" t="str">
        <f t="shared" si="13"/>
        <v>road</v>
      </c>
      <c r="G276" s="6" t="str">
        <f t="shared" si="14"/>
        <v>bus_bev_pass_long_1</v>
      </c>
      <c r="H276" s="7"/>
      <c r="I276" s="10" t="s">
        <v>122</v>
      </c>
    </row>
    <row r="277" spans="1:9" ht="16.2" customHeight="1" x14ac:dyDescent="0.3">
      <c r="A277" s="9"/>
      <c r="B277" s="7" t="s">
        <v>15</v>
      </c>
      <c r="C277" s="5" t="s">
        <v>476</v>
      </c>
      <c r="D277" s="7" t="s">
        <v>184</v>
      </c>
      <c r="E277" s="6" t="str">
        <f t="shared" si="12"/>
        <v>tra</v>
      </c>
      <c r="F277" s="6" t="str">
        <f t="shared" si="13"/>
        <v>road</v>
      </c>
      <c r="G277" s="6" t="str">
        <f t="shared" si="14"/>
        <v>bus_bev_pass_short_1</v>
      </c>
      <c r="H277" s="7"/>
      <c r="I277" s="10" t="s">
        <v>26</v>
      </c>
    </row>
    <row r="278" spans="1:9" ht="16.2" customHeight="1" x14ac:dyDescent="0.3">
      <c r="A278" s="9"/>
      <c r="B278" s="7" t="s">
        <v>13</v>
      </c>
      <c r="C278" s="5" t="s">
        <v>477</v>
      </c>
      <c r="D278" s="7" t="s">
        <v>188</v>
      </c>
      <c r="E278" s="6" t="str">
        <f t="shared" si="12"/>
        <v>tra</v>
      </c>
      <c r="F278" s="6" t="str">
        <f t="shared" si="13"/>
        <v>road</v>
      </c>
      <c r="G278" s="6" t="str">
        <f t="shared" si="14"/>
        <v>bus_ice_pass_short_diesel_1</v>
      </c>
      <c r="H278" s="7"/>
      <c r="I278" s="10" t="s">
        <v>26</v>
      </c>
    </row>
    <row r="279" spans="1:9" ht="16.2" customHeight="1" x14ac:dyDescent="0.3">
      <c r="A279" s="9"/>
      <c r="B279" s="7" t="s">
        <v>13</v>
      </c>
      <c r="C279" s="5" t="s">
        <v>478</v>
      </c>
      <c r="D279" s="7" t="s">
        <v>193</v>
      </c>
      <c r="E279" s="6" t="str">
        <f t="shared" si="12"/>
        <v>tra</v>
      </c>
      <c r="F279" s="6" t="str">
        <f t="shared" si="13"/>
        <v>road</v>
      </c>
      <c r="G279" s="6" t="str">
        <f t="shared" si="14"/>
        <v>bus_ice_pass_long_diesel_1</v>
      </c>
      <c r="H279" s="7"/>
      <c r="I279" s="10" t="s">
        <v>26</v>
      </c>
    </row>
    <row r="280" spans="1:9" ht="16.2" customHeight="1" x14ac:dyDescent="0.3">
      <c r="A280" s="9"/>
      <c r="B280" s="7" t="s">
        <v>17</v>
      </c>
      <c r="C280" s="5" t="s">
        <v>479</v>
      </c>
      <c r="D280" s="7" t="s">
        <v>195</v>
      </c>
      <c r="E280" s="6" t="str">
        <f t="shared" si="12"/>
        <v>tra</v>
      </c>
      <c r="F280" s="6" t="str">
        <f t="shared" si="13"/>
        <v>road</v>
      </c>
      <c r="G280" s="6" t="str">
        <f t="shared" si="14"/>
        <v>lcar_fcev_pass_hydrogen_1</v>
      </c>
      <c r="H280" s="7"/>
      <c r="I280" s="10" t="s">
        <v>24</v>
      </c>
    </row>
    <row r="281" spans="1:9" ht="16.2" customHeight="1" x14ac:dyDescent="0.3">
      <c r="A281" s="9"/>
      <c r="B281" s="7" t="s">
        <v>196</v>
      </c>
      <c r="C281" s="5" t="s">
        <v>480</v>
      </c>
      <c r="D281" s="7" t="s">
        <v>198</v>
      </c>
      <c r="E281" s="6" t="str">
        <f t="shared" si="12"/>
        <v>tra</v>
      </c>
      <c r="F281" s="6" t="str">
        <f t="shared" si="13"/>
        <v>road</v>
      </c>
      <c r="G281" s="6" t="str">
        <f t="shared" si="14"/>
        <v>lcar_bev_pass_battery_infl_uni_1</v>
      </c>
      <c r="H281" s="7"/>
      <c r="I281" s="11"/>
    </row>
    <row r="282" spans="1:9" ht="16.2" customHeight="1" x14ac:dyDescent="0.3">
      <c r="A282" s="9"/>
      <c r="B282" s="7" t="s">
        <v>196</v>
      </c>
      <c r="C282" s="5" t="s">
        <v>481</v>
      </c>
      <c r="D282" s="7" t="s">
        <v>198</v>
      </c>
      <c r="E282" s="6" t="str">
        <f t="shared" si="12"/>
        <v>tra</v>
      </c>
      <c r="F282" s="6" t="str">
        <f t="shared" si="13"/>
        <v>road</v>
      </c>
      <c r="G282" s="6" t="str">
        <f t="shared" si="14"/>
        <v>lcar_bev_pass_battery_flex_uni_1</v>
      </c>
      <c r="H282" s="7"/>
      <c r="I282" s="11"/>
    </row>
    <row r="283" spans="1:9" ht="16.2" customHeight="1" x14ac:dyDescent="0.3">
      <c r="A283" s="9"/>
      <c r="B283" s="7" t="s">
        <v>196</v>
      </c>
      <c r="C283" s="5" t="s">
        <v>482</v>
      </c>
      <c r="D283" s="7" t="s">
        <v>198</v>
      </c>
      <c r="E283" s="6" t="str">
        <f t="shared" si="12"/>
        <v>tra</v>
      </c>
      <c r="F283" s="6" t="str">
        <f t="shared" si="13"/>
        <v>road</v>
      </c>
      <c r="G283" s="6" t="str">
        <f t="shared" si="14"/>
        <v>lcar_bev_pass_battery_flex_bi_1</v>
      </c>
      <c r="H283" s="7"/>
      <c r="I283" s="11"/>
    </row>
    <row r="284" spans="1:9" ht="16.2" customHeight="1" x14ac:dyDescent="0.3">
      <c r="A284" s="9"/>
      <c r="B284" s="7" t="s">
        <v>15</v>
      </c>
      <c r="C284" s="5" t="s">
        <v>483</v>
      </c>
      <c r="D284" s="7" t="s">
        <v>196</v>
      </c>
      <c r="E284" s="6" t="str">
        <f t="shared" si="12"/>
        <v>tra</v>
      </c>
      <c r="F284" s="6" t="str">
        <f t="shared" si="13"/>
        <v>road</v>
      </c>
      <c r="G284" s="6" t="str">
        <f t="shared" si="14"/>
        <v>lcar_bev_pass_wallbox_infl_uni_g2v_1</v>
      </c>
      <c r="H284" s="7"/>
      <c r="I284" s="11"/>
    </row>
    <row r="285" spans="1:9" ht="16.2" customHeight="1" x14ac:dyDescent="0.3">
      <c r="A285" s="9"/>
      <c r="B285" s="7" t="s">
        <v>15</v>
      </c>
      <c r="C285" s="5" t="s">
        <v>484</v>
      </c>
      <c r="D285" s="7" t="s">
        <v>196</v>
      </c>
      <c r="E285" s="6" t="str">
        <f t="shared" si="12"/>
        <v>tra</v>
      </c>
      <c r="F285" s="6" t="str">
        <f t="shared" si="13"/>
        <v>road</v>
      </c>
      <c r="G285" s="6" t="str">
        <f t="shared" si="14"/>
        <v>lcar_bev_pass_wallbox_flex_uni_g2v_1</v>
      </c>
      <c r="H285" s="7"/>
      <c r="I285" s="11"/>
    </row>
    <row r="286" spans="1:9" ht="16.2" customHeight="1" x14ac:dyDescent="0.3">
      <c r="A286" s="9"/>
      <c r="B286" s="7" t="s">
        <v>15</v>
      </c>
      <c r="C286" s="17" t="s">
        <v>485</v>
      </c>
      <c r="D286" s="7" t="s">
        <v>196</v>
      </c>
      <c r="E286" s="6" t="str">
        <f t="shared" si="12"/>
        <v>tra</v>
      </c>
      <c r="F286" s="6" t="str">
        <f t="shared" si="13"/>
        <v>road</v>
      </c>
      <c r="G286" s="6" t="str">
        <f t="shared" si="14"/>
        <v>lcar_bev_pass_wallbox_flex_bi_g2v_1</v>
      </c>
      <c r="H286" s="7"/>
      <c r="I286" s="11"/>
    </row>
    <row r="287" spans="1:9" ht="16.2" customHeight="1" x14ac:dyDescent="0.3">
      <c r="A287" s="9"/>
      <c r="B287" s="7" t="s">
        <v>198</v>
      </c>
      <c r="C287" s="17" t="s">
        <v>486</v>
      </c>
      <c r="D287" s="7" t="s">
        <v>15</v>
      </c>
      <c r="E287" s="6" t="str">
        <f t="shared" si="12"/>
        <v>tra</v>
      </c>
      <c r="F287" s="6" t="str">
        <f t="shared" si="13"/>
        <v>road</v>
      </c>
      <c r="G287" s="6" t="str">
        <f t="shared" si="14"/>
        <v>lcar_bev_pass_wallbox_flex_bi_v2g_1</v>
      </c>
      <c r="H287" s="7"/>
      <c r="I287" s="11"/>
    </row>
    <row r="288" spans="1:9" ht="16.2" customHeight="1" x14ac:dyDescent="0.3">
      <c r="A288" s="9"/>
      <c r="B288" s="7" t="s">
        <v>198</v>
      </c>
      <c r="C288" s="5" t="s">
        <v>487</v>
      </c>
      <c r="D288" s="7" t="s">
        <v>195</v>
      </c>
      <c r="E288" s="6" t="str">
        <f t="shared" si="12"/>
        <v>tra</v>
      </c>
      <c r="F288" s="6" t="str">
        <f t="shared" si="13"/>
        <v>road</v>
      </c>
      <c r="G288" s="6" t="str">
        <f t="shared" si="14"/>
        <v>lcar_bev_pass_engine_infl_uni_1</v>
      </c>
      <c r="H288" s="7"/>
      <c r="I288" s="11"/>
    </row>
    <row r="289" spans="1:9" ht="16.2" customHeight="1" x14ac:dyDescent="0.3">
      <c r="A289" s="9"/>
      <c r="B289" s="7" t="s">
        <v>198</v>
      </c>
      <c r="C289" s="17" t="s">
        <v>488</v>
      </c>
      <c r="D289" s="7" t="s">
        <v>195</v>
      </c>
      <c r="E289" s="6" t="str">
        <f t="shared" si="12"/>
        <v>tra</v>
      </c>
      <c r="F289" s="6" t="str">
        <f t="shared" si="13"/>
        <v>road</v>
      </c>
      <c r="G289" s="6" t="str">
        <f t="shared" si="14"/>
        <v>lcar_bev_pass_engine_flex_uni_1</v>
      </c>
      <c r="H289" s="7"/>
      <c r="I289" s="11"/>
    </row>
    <row r="290" spans="1:9" ht="16.2" customHeight="1" x14ac:dyDescent="0.3">
      <c r="A290" s="9"/>
      <c r="B290" s="7" t="s">
        <v>198</v>
      </c>
      <c r="C290" s="17" t="s">
        <v>489</v>
      </c>
      <c r="D290" s="7" t="s">
        <v>195</v>
      </c>
      <c r="E290" s="6" t="str">
        <f t="shared" si="12"/>
        <v>tra</v>
      </c>
      <c r="F290" s="6" t="str">
        <f t="shared" si="13"/>
        <v>road</v>
      </c>
      <c r="G290" s="6" t="str">
        <f t="shared" si="14"/>
        <v>lcar_bev_pass_engine_flex_bi_1</v>
      </c>
      <c r="H290" s="7"/>
      <c r="I290" s="11"/>
    </row>
    <row r="291" spans="1:9" ht="16.2" customHeight="1" x14ac:dyDescent="0.3">
      <c r="A291" s="9"/>
      <c r="B291" s="7" t="s">
        <v>208</v>
      </c>
      <c r="C291" s="5" t="s">
        <v>490</v>
      </c>
      <c r="D291" s="7" t="s">
        <v>210</v>
      </c>
      <c r="E291" s="6" t="str">
        <f t="shared" si="12"/>
        <v>tra</v>
      </c>
      <c r="F291" s="6" t="str">
        <f t="shared" si="13"/>
        <v>road</v>
      </c>
      <c r="G291" s="6" t="str">
        <f t="shared" si="14"/>
        <v>lcar_hyb_pass_gasoline_1</v>
      </c>
      <c r="H291" s="7"/>
      <c r="I291" s="10" t="s">
        <v>26</v>
      </c>
    </row>
    <row r="292" spans="1:9" ht="16.2" customHeight="1" x14ac:dyDescent="0.3">
      <c r="A292" s="9"/>
      <c r="B292" s="7" t="s">
        <v>152</v>
      </c>
      <c r="C292" s="5" t="s">
        <v>491</v>
      </c>
      <c r="D292" s="7" t="s">
        <v>210</v>
      </c>
      <c r="E292" s="6" t="str">
        <f t="shared" si="12"/>
        <v>tra</v>
      </c>
      <c r="F292" s="6" t="str">
        <f t="shared" si="13"/>
        <v>road</v>
      </c>
      <c r="G292" s="6" t="str">
        <f t="shared" si="14"/>
        <v>lcar_hyb_pass_diesel_1</v>
      </c>
      <c r="H292" s="7"/>
      <c r="I292" s="10" t="s">
        <v>24</v>
      </c>
    </row>
    <row r="293" spans="1:9" ht="16.2" customHeight="1" x14ac:dyDescent="0.3">
      <c r="A293" s="9"/>
      <c r="B293" s="7" t="s">
        <v>17</v>
      </c>
      <c r="C293" s="5" t="s">
        <v>492</v>
      </c>
      <c r="D293" s="7" t="s">
        <v>195</v>
      </c>
      <c r="E293" s="6" t="str">
        <f t="shared" si="12"/>
        <v>tra</v>
      </c>
      <c r="F293" s="6" t="str">
        <f t="shared" si="13"/>
        <v>road</v>
      </c>
      <c r="G293" s="6" t="str">
        <f t="shared" si="14"/>
        <v>lcar_ice_pass_hydrogen_1</v>
      </c>
      <c r="H293" s="7"/>
      <c r="I293" s="10" t="s">
        <v>24</v>
      </c>
    </row>
    <row r="294" spans="1:9" ht="16.2" customHeight="1" x14ac:dyDescent="0.3">
      <c r="A294" s="9"/>
      <c r="B294" s="7" t="s">
        <v>35</v>
      </c>
      <c r="C294" s="5" t="s">
        <v>493</v>
      </c>
      <c r="D294" s="7" t="s">
        <v>214</v>
      </c>
      <c r="E294" s="6" t="str">
        <f t="shared" si="12"/>
        <v>tra</v>
      </c>
      <c r="F294" s="6" t="str">
        <f t="shared" si="13"/>
        <v>road</v>
      </c>
      <c r="G294" s="6" t="str">
        <f t="shared" si="14"/>
        <v>lcar_ice_pass_methanol_1</v>
      </c>
      <c r="H294" s="7"/>
      <c r="I294" s="10" t="s">
        <v>26</v>
      </c>
    </row>
    <row r="295" spans="1:9" ht="16.2" customHeight="1" x14ac:dyDescent="0.3">
      <c r="A295" s="9"/>
      <c r="B295" s="7" t="s">
        <v>27</v>
      </c>
      <c r="C295" s="5" t="s">
        <v>494</v>
      </c>
      <c r="D295" s="7" t="s">
        <v>210</v>
      </c>
      <c r="E295" s="6" t="str">
        <f t="shared" si="12"/>
        <v>tra</v>
      </c>
      <c r="F295" s="6" t="str">
        <f t="shared" si="13"/>
        <v>road</v>
      </c>
      <c r="G295" s="6" t="str">
        <f t="shared" si="14"/>
        <v>lcar_ice_pass_cng_1</v>
      </c>
      <c r="H295" s="7"/>
      <c r="I295" s="10" t="s">
        <v>24</v>
      </c>
    </row>
    <row r="296" spans="1:9" ht="16.2" customHeight="1" x14ac:dyDescent="0.3">
      <c r="A296" s="9"/>
      <c r="B296" s="7" t="s">
        <v>38</v>
      </c>
      <c r="C296" s="5" t="s">
        <v>495</v>
      </c>
      <c r="D296" s="7" t="s">
        <v>210</v>
      </c>
      <c r="E296" s="6" t="str">
        <f t="shared" si="12"/>
        <v>tra</v>
      </c>
      <c r="F296" s="6" t="str">
        <f t="shared" si="13"/>
        <v>road</v>
      </c>
      <c r="G296" s="6" t="str">
        <f t="shared" si="14"/>
        <v>lcar_ice_pass_lpg_1</v>
      </c>
      <c r="H296" s="7"/>
      <c r="I296" s="11"/>
    </row>
    <row r="297" spans="1:9" ht="16.2" customHeight="1" x14ac:dyDescent="0.3">
      <c r="A297" s="9"/>
      <c r="B297" s="7" t="s">
        <v>30</v>
      </c>
      <c r="C297" s="5" t="s">
        <v>496</v>
      </c>
      <c r="D297" s="7" t="s">
        <v>210</v>
      </c>
      <c r="E297" s="6" t="str">
        <f t="shared" si="12"/>
        <v>tra</v>
      </c>
      <c r="F297" s="6" t="str">
        <f t="shared" si="13"/>
        <v>road</v>
      </c>
      <c r="G297" s="6" t="str">
        <f t="shared" si="14"/>
        <v>lcar_ice_pass_gasoline_1</v>
      </c>
      <c r="H297" s="7"/>
      <c r="I297" s="10" t="s">
        <v>26</v>
      </c>
    </row>
    <row r="298" spans="1:9" ht="16.2" customHeight="1" x14ac:dyDescent="0.3">
      <c r="A298" s="9"/>
      <c r="B298" s="7" t="s">
        <v>13</v>
      </c>
      <c r="C298" s="5" t="s">
        <v>497</v>
      </c>
      <c r="D298" s="7" t="s">
        <v>210</v>
      </c>
      <c r="E298" s="6" t="str">
        <f t="shared" si="12"/>
        <v>tra</v>
      </c>
      <c r="F298" s="6" t="str">
        <f t="shared" si="13"/>
        <v>road</v>
      </c>
      <c r="G298" s="6" t="str">
        <f t="shared" si="14"/>
        <v>lcar_ice_pass_diesel_1</v>
      </c>
      <c r="H298" s="7"/>
      <c r="I298" s="10" t="s">
        <v>26</v>
      </c>
    </row>
    <row r="299" spans="1:9" ht="16.2" customHeight="1" x14ac:dyDescent="0.3">
      <c r="A299" s="9"/>
      <c r="B299" s="7" t="s">
        <v>219</v>
      </c>
      <c r="C299" s="5" t="s">
        <v>498</v>
      </c>
      <c r="D299" s="7" t="s">
        <v>210</v>
      </c>
      <c r="E299" s="6" t="str">
        <f t="shared" si="12"/>
        <v>tra</v>
      </c>
      <c r="F299" s="6" t="str">
        <f t="shared" si="13"/>
        <v>road</v>
      </c>
      <c r="G299" s="6" t="str">
        <f t="shared" si="14"/>
        <v>lcar_ice_pass_flex_1</v>
      </c>
      <c r="H299" s="7"/>
      <c r="I299" s="10" t="s">
        <v>24</v>
      </c>
    </row>
    <row r="300" spans="1:9" ht="16.2" customHeight="1" x14ac:dyDescent="0.3">
      <c r="A300" s="9"/>
      <c r="B300" s="7" t="s">
        <v>17</v>
      </c>
      <c r="C300" s="5" t="s">
        <v>499</v>
      </c>
      <c r="D300" s="7" t="s">
        <v>222</v>
      </c>
      <c r="E300" s="6" t="str">
        <f t="shared" si="12"/>
        <v>tra</v>
      </c>
      <c r="F300" s="6" t="str">
        <f t="shared" si="13"/>
        <v>road</v>
      </c>
      <c r="G300" s="6" t="str">
        <f t="shared" si="14"/>
        <v>mcar_fcev_pass_hydrogen_1</v>
      </c>
      <c r="H300" s="7"/>
      <c r="I300" s="10" t="s">
        <v>24</v>
      </c>
    </row>
    <row r="301" spans="1:9" ht="16.2" customHeight="1" x14ac:dyDescent="0.3">
      <c r="A301" s="9"/>
      <c r="B301" s="7" t="s">
        <v>196</v>
      </c>
      <c r="C301" s="5" t="s">
        <v>500</v>
      </c>
      <c r="D301" s="7" t="s">
        <v>198</v>
      </c>
      <c r="E301" s="6" t="str">
        <f t="shared" si="12"/>
        <v>tra</v>
      </c>
      <c r="F301" s="6" t="str">
        <f t="shared" si="13"/>
        <v>road</v>
      </c>
      <c r="G301" s="6" t="str">
        <f t="shared" si="14"/>
        <v>mcar_bev_pass_battery_infl_uni_1</v>
      </c>
      <c r="H301" s="7"/>
      <c r="I301" s="11"/>
    </row>
    <row r="302" spans="1:9" ht="16.2" customHeight="1" x14ac:dyDescent="0.3">
      <c r="A302" s="9"/>
      <c r="B302" s="7" t="s">
        <v>196</v>
      </c>
      <c r="C302" s="5" t="s">
        <v>501</v>
      </c>
      <c r="D302" s="7" t="s">
        <v>198</v>
      </c>
      <c r="E302" s="6" t="str">
        <f t="shared" si="12"/>
        <v>tra</v>
      </c>
      <c r="F302" s="6" t="str">
        <f t="shared" si="13"/>
        <v>road</v>
      </c>
      <c r="G302" s="6" t="str">
        <f t="shared" si="14"/>
        <v>mcar_bev_pass_battery_flex_uni_1</v>
      </c>
      <c r="H302" s="7"/>
      <c r="I302" s="11"/>
    </row>
    <row r="303" spans="1:9" ht="16.2" customHeight="1" x14ac:dyDescent="0.3">
      <c r="A303" s="9"/>
      <c r="B303" s="7" t="s">
        <v>196</v>
      </c>
      <c r="C303" s="17" t="s">
        <v>502</v>
      </c>
      <c r="D303" s="7" t="s">
        <v>198</v>
      </c>
      <c r="E303" s="6" t="str">
        <f t="shared" si="12"/>
        <v>tra</v>
      </c>
      <c r="F303" s="6" t="str">
        <f t="shared" si="13"/>
        <v>road</v>
      </c>
      <c r="G303" s="6" t="str">
        <f t="shared" si="14"/>
        <v>mcar_bev_pass_battery_flex_bi_1</v>
      </c>
      <c r="H303" s="7"/>
      <c r="I303" s="11"/>
    </row>
    <row r="304" spans="1:9" ht="16.2" customHeight="1" x14ac:dyDescent="0.3">
      <c r="A304" s="9"/>
      <c r="B304" s="7" t="s">
        <v>15</v>
      </c>
      <c r="C304" s="5" t="s">
        <v>503</v>
      </c>
      <c r="D304" s="7" t="s">
        <v>196</v>
      </c>
      <c r="E304" s="6" t="str">
        <f t="shared" ref="E304:E367" si="15">_xlfn.TEXTBEFORE($C304,"_")</f>
        <v>tra</v>
      </c>
      <c r="F304" s="6" t="str">
        <f t="shared" ref="F304:F367" si="16">_xlfn.TEXTBEFORE(_xlfn.TEXTAFTER($C304,_xlfn.CONCAT(E304,"_")),"_")</f>
        <v>road</v>
      </c>
      <c r="G304" s="6" t="str">
        <f t="shared" ref="G304:G367" si="17">_xlfn.TEXTAFTER($C304,_xlfn.CONCAT(F304,"_"))</f>
        <v>mcar_bev_pass_wallbox_infl_uni_g2v_1</v>
      </c>
      <c r="H304" s="7"/>
      <c r="I304" s="11"/>
    </row>
    <row r="305" spans="1:9" ht="16.2" customHeight="1" x14ac:dyDescent="0.3">
      <c r="A305" s="9"/>
      <c r="B305" s="7" t="s">
        <v>15</v>
      </c>
      <c r="C305" s="5" t="s">
        <v>504</v>
      </c>
      <c r="D305" s="7" t="s">
        <v>196</v>
      </c>
      <c r="E305" s="6" t="str">
        <f t="shared" si="15"/>
        <v>tra</v>
      </c>
      <c r="F305" s="6" t="str">
        <f t="shared" si="16"/>
        <v>road</v>
      </c>
      <c r="G305" s="6" t="str">
        <f t="shared" si="17"/>
        <v>mcar_bev_pass_wallbox_flex_uni_g2v_1</v>
      </c>
      <c r="H305" s="7"/>
      <c r="I305" s="11"/>
    </row>
    <row r="306" spans="1:9" ht="16.2" customHeight="1" x14ac:dyDescent="0.3">
      <c r="A306" s="9"/>
      <c r="B306" s="7" t="s">
        <v>198</v>
      </c>
      <c r="C306" s="17" t="s">
        <v>505</v>
      </c>
      <c r="D306" s="6" t="s">
        <v>15</v>
      </c>
      <c r="E306" s="6" t="str">
        <f t="shared" si="15"/>
        <v>tra</v>
      </c>
      <c r="F306" s="6" t="str">
        <f t="shared" si="16"/>
        <v>road</v>
      </c>
      <c r="G306" s="6" t="str">
        <f t="shared" si="17"/>
        <v>mcar_bev_pass_wallbox_flex_bi_v2g_1</v>
      </c>
      <c r="H306" s="7"/>
      <c r="I306" s="11"/>
    </row>
    <row r="307" spans="1:9" ht="16.2" customHeight="1" x14ac:dyDescent="0.3">
      <c r="A307" s="9"/>
      <c r="B307" s="7" t="s">
        <v>15</v>
      </c>
      <c r="C307" s="17" t="s">
        <v>506</v>
      </c>
      <c r="D307" s="7" t="s">
        <v>196</v>
      </c>
      <c r="E307" s="6" t="str">
        <f t="shared" si="15"/>
        <v>tra</v>
      </c>
      <c r="F307" s="6" t="str">
        <f t="shared" si="16"/>
        <v>road</v>
      </c>
      <c r="G307" s="6" t="str">
        <f t="shared" si="17"/>
        <v>mcar_bev_pass_wallbox_flex_bi_g2v_1</v>
      </c>
      <c r="H307" s="7"/>
      <c r="I307" s="11"/>
    </row>
    <row r="308" spans="1:9" ht="16.2" customHeight="1" x14ac:dyDescent="0.3">
      <c r="A308" s="9"/>
      <c r="B308" s="7" t="s">
        <v>198</v>
      </c>
      <c r="C308" s="17" t="s">
        <v>507</v>
      </c>
      <c r="D308" s="7" t="s">
        <v>222</v>
      </c>
      <c r="E308" s="6" t="str">
        <f t="shared" si="15"/>
        <v>tra</v>
      </c>
      <c r="F308" s="6" t="str">
        <f t="shared" si="16"/>
        <v>road</v>
      </c>
      <c r="G308" s="6" t="str">
        <f t="shared" si="17"/>
        <v>mcar_bev_pass_engine_infl_uni_1</v>
      </c>
      <c r="H308" s="7"/>
      <c r="I308" s="11"/>
    </row>
    <row r="309" spans="1:9" ht="16.2" customHeight="1" x14ac:dyDescent="0.3">
      <c r="A309" s="9"/>
      <c r="B309" s="7" t="s">
        <v>198</v>
      </c>
      <c r="C309" s="5" t="s">
        <v>508</v>
      </c>
      <c r="D309" s="7" t="s">
        <v>222</v>
      </c>
      <c r="E309" s="6" t="str">
        <f t="shared" si="15"/>
        <v>tra</v>
      </c>
      <c r="F309" s="6" t="str">
        <f t="shared" si="16"/>
        <v>road</v>
      </c>
      <c r="G309" s="6" t="str">
        <f t="shared" si="17"/>
        <v>mcar_bev_pass_engine_flex_uni_1</v>
      </c>
      <c r="H309" s="7"/>
      <c r="I309" s="11"/>
    </row>
    <row r="310" spans="1:9" ht="16.2" customHeight="1" x14ac:dyDescent="0.3">
      <c r="A310" s="9"/>
      <c r="B310" s="7" t="s">
        <v>198</v>
      </c>
      <c r="C310" s="5" t="s">
        <v>509</v>
      </c>
      <c r="D310" s="7" t="s">
        <v>222</v>
      </c>
      <c r="E310" s="6" t="str">
        <f t="shared" si="15"/>
        <v>tra</v>
      </c>
      <c r="F310" s="6" t="str">
        <f t="shared" si="16"/>
        <v>road</v>
      </c>
      <c r="G310" s="6" t="str">
        <f t="shared" si="17"/>
        <v>mcar_bev_pass_engine_flex_bi_1</v>
      </c>
      <c r="H310" s="7"/>
      <c r="I310" s="11"/>
    </row>
    <row r="311" spans="1:9" ht="16.2" customHeight="1" x14ac:dyDescent="0.3">
      <c r="A311" s="9"/>
      <c r="B311" s="7" t="s">
        <v>208</v>
      </c>
      <c r="C311" s="5" t="s">
        <v>510</v>
      </c>
      <c r="D311" s="7" t="s">
        <v>234</v>
      </c>
      <c r="E311" s="6" t="str">
        <f t="shared" si="15"/>
        <v>tra</v>
      </c>
      <c r="F311" s="6" t="str">
        <f t="shared" si="16"/>
        <v>road</v>
      </c>
      <c r="G311" s="6" t="str">
        <f t="shared" si="17"/>
        <v>mcar_hyb_pass_gasoline_1</v>
      </c>
      <c r="H311" s="7"/>
      <c r="I311" s="10" t="s">
        <v>24</v>
      </c>
    </row>
    <row r="312" spans="1:9" ht="16.2" customHeight="1" x14ac:dyDescent="0.3">
      <c r="A312" s="9"/>
      <c r="B312" s="7" t="s">
        <v>152</v>
      </c>
      <c r="C312" s="5" t="s">
        <v>511</v>
      </c>
      <c r="D312" s="7" t="s">
        <v>234</v>
      </c>
      <c r="E312" s="6" t="str">
        <f t="shared" si="15"/>
        <v>tra</v>
      </c>
      <c r="F312" s="6" t="str">
        <f t="shared" si="16"/>
        <v>road</v>
      </c>
      <c r="G312" s="6" t="str">
        <f t="shared" si="17"/>
        <v>mcar_hyb_pass_diesel_1</v>
      </c>
      <c r="H312" s="7"/>
      <c r="I312" s="10" t="s">
        <v>26</v>
      </c>
    </row>
    <row r="313" spans="1:9" ht="16.2" customHeight="1" x14ac:dyDescent="0.3">
      <c r="A313" s="9"/>
      <c r="B313" s="7" t="s">
        <v>17</v>
      </c>
      <c r="C313" s="5" t="s">
        <v>512</v>
      </c>
      <c r="D313" s="7" t="s">
        <v>222</v>
      </c>
      <c r="E313" s="6" t="str">
        <f t="shared" si="15"/>
        <v>tra</v>
      </c>
      <c r="F313" s="6" t="str">
        <f t="shared" si="16"/>
        <v>road</v>
      </c>
      <c r="G313" s="6" t="str">
        <f t="shared" si="17"/>
        <v>mcar_ice_pass_hydrogen_1</v>
      </c>
      <c r="H313" s="7"/>
      <c r="I313" s="11"/>
    </row>
    <row r="314" spans="1:9" ht="16.2" customHeight="1" x14ac:dyDescent="0.3">
      <c r="A314" s="9"/>
      <c r="B314" s="7" t="s">
        <v>35</v>
      </c>
      <c r="C314" s="5" t="s">
        <v>513</v>
      </c>
      <c r="D314" s="7" t="s">
        <v>238</v>
      </c>
      <c r="E314" s="6" t="str">
        <f t="shared" si="15"/>
        <v>tra</v>
      </c>
      <c r="F314" s="6" t="str">
        <f t="shared" si="16"/>
        <v>road</v>
      </c>
      <c r="G314" s="6" t="str">
        <f t="shared" si="17"/>
        <v>mcar_ice_pass_methanol_1</v>
      </c>
      <c r="H314" s="7"/>
      <c r="I314" s="10" t="s">
        <v>26</v>
      </c>
    </row>
    <row r="315" spans="1:9" ht="16.2" customHeight="1" x14ac:dyDescent="0.3">
      <c r="A315" s="9"/>
      <c r="B315" s="7" t="s">
        <v>27</v>
      </c>
      <c r="C315" s="5" t="s">
        <v>514</v>
      </c>
      <c r="D315" s="7" t="s">
        <v>234</v>
      </c>
      <c r="E315" s="6" t="str">
        <f t="shared" si="15"/>
        <v>tra</v>
      </c>
      <c r="F315" s="6" t="str">
        <f t="shared" si="16"/>
        <v>road</v>
      </c>
      <c r="G315" s="6" t="str">
        <f t="shared" si="17"/>
        <v>mcar_ice_pass_cng_1</v>
      </c>
      <c r="H315" s="7"/>
      <c r="I315" s="10" t="s">
        <v>26</v>
      </c>
    </row>
    <row r="316" spans="1:9" ht="16.2" customHeight="1" x14ac:dyDescent="0.3">
      <c r="A316" s="9"/>
      <c r="B316" s="7" t="s">
        <v>38</v>
      </c>
      <c r="C316" s="5" t="s">
        <v>515</v>
      </c>
      <c r="D316" s="7" t="s">
        <v>234</v>
      </c>
      <c r="E316" s="6" t="str">
        <f t="shared" si="15"/>
        <v>tra</v>
      </c>
      <c r="F316" s="6" t="str">
        <f t="shared" si="16"/>
        <v>road</v>
      </c>
      <c r="G316" s="6" t="str">
        <f t="shared" si="17"/>
        <v>mcar_ice_pass_lpg_1</v>
      </c>
      <c r="H316" s="7"/>
      <c r="I316" s="10" t="s">
        <v>26</v>
      </c>
    </row>
    <row r="317" spans="1:9" ht="16.2" customHeight="1" x14ac:dyDescent="0.3">
      <c r="A317" s="9"/>
      <c r="B317" s="7" t="s">
        <v>30</v>
      </c>
      <c r="C317" s="5" t="s">
        <v>516</v>
      </c>
      <c r="D317" s="7" t="s">
        <v>234</v>
      </c>
      <c r="E317" s="6" t="str">
        <f t="shared" si="15"/>
        <v>tra</v>
      </c>
      <c r="F317" s="6" t="str">
        <f t="shared" si="16"/>
        <v>road</v>
      </c>
      <c r="G317" s="6" t="str">
        <f t="shared" si="17"/>
        <v>mcar_ice_pass_gasoline_1</v>
      </c>
      <c r="H317" s="7"/>
      <c r="I317" s="11"/>
    </row>
    <row r="318" spans="1:9" ht="16.2" customHeight="1" x14ac:dyDescent="0.3">
      <c r="A318" s="9"/>
      <c r="B318" s="7" t="s">
        <v>13</v>
      </c>
      <c r="C318" s="5" t="s">
        <v>517</v>
      </c>
      <c r="D318" s="7" t="s">
        <v>234</v>
      </c>
      <c r="E318" s="6" t="str">
        <f t="shared" si="15"/>
        <v>tra</v>
      </c>
      <c r="F318" s="6" t="str">
        <f t="shared" si="16"/>
        <v>road</v>
      </c>
      <c r="G318" s="6" t="str">
        <f t="shared" si="17"/>
        <v>mcar_ice_pass_diesel_1</v>
      </c>
      <c r="H318" s="7"/>
      <c r="I318" s="11"/>
    </row>
    <row r="319" spans="1:9" ht="16.2" customHeight="1" x14ac:dyDescent="0.3">
      <c r="A319" s="9"/>
      <c r="B319" s="7" t="s">
        <v>219</v>
      </c>
      <c r="C319" s="5" t="s">
        <v>518</v>
      </c>
      <c r="D319" s="7" t="s">
        <v>234</v>
      </c>
      <c r="E319" s="6" t="str">
        <f t="shared" si="15"/>
        <v>tra</v>
      </c>
      <c r="F319" s="6" t="str">
        <f t="shared" si="16"/>
        <v>road</v>
      </c>
      <c r="G319" s="6" t="str">
        <f t="shared" si="17"/>
        <v>mcar_ice_pass_flex_1</v>
      </c>
      <c r="H319" s="7"/>
      <c r="I319" s="11"/>
    </row>
    <row r="320" spans="1:9" ht="16.2" customHeight="1" x14ac:dyDescent="0.3">
      <c r="A320" s="9"/>
      <c r="B320" s="7" t="s">
        <v>17</v>
      </c>
      <c r="C320" s="5" t="s">
        <v>519</v>
      </c>
      <c r="D320" s="7" t="s">
        <v>245</v>
      </c>
      <c r="E320" s="6" t="str">
        <f t="shared" si="15"/>
        <v>tra</v>
      </c>
      <c r="F320" s="6" t="str">
        <f t="shared" si="16"/>
        <v>road</v>
      </c>
      <c r="G320" s="6" t="str">
        <f t="shared" si="17"/>
        <v>hcar_fcev_pass_hydrogen_1</v>
      </c>
      <c r="H320" s="7"/>
      <c r="I320" s="11"/>
    </row>
    <row r="321" spans="1:9" ht="16.2" customHeight="1" x14ac:dyDescent="0.3">
      <c r="A321" s="9"/>
      <c r="B321" s="7" t="s">
        <v>196</v>
      </c>
      <c r="C321" s="5" t="s">
        <v>520</v>
      </c>
      <c r="D321" s="7" t="s">
        <v>198</v>
      </c>
      <c r="E321" s="6" t="str">
        <f t="shared" si="15"/>
        <v>tra</v>
      </c>
      <c r="F321" s="6" t="str">
        <f t="shared" si="16"/>
        <v>road</v>
      </c>
      <c r="G321" s="6" t="str">
        <f t="shared" si="17"/>
        <v>hcar_bev_pass_battery_infl_uni_1</v>
      </c>
      <c r="H321" s="7"/>
      <c r="I321" s="11"/>
    </row>
    <row r="322" spans="1:9" ht="16.2" customHeight="1" x14ac:dyDescent="0.3">
      <c r="A322" s="9"/>
      <c r="B322" s="7" t="s">
        <v>196</v>
      </c>
      <c r="C322" s="5" t="s">
        <v>521</v>
      </c>
      <c r="D322" s="7" t="s">
        <v>198</v>
      </c>
      <c r="E322" s="6" t="str">
        <f t="shared" si="15"/>
        <v>tra</v>
      </c>
      <c r="F322" s="6" t="str">
        <f t="shared" si="16"/>
        <v>road</v>
      </c>
      <c r="G322" s="6" t="str">
        <f t="shared" si="17"/>
        <v>hcar_bev_pass_battery_flex_uni_1</v>
      </c>
      <c r="H322" s="7"/>
      <c r="I322" s="11"/>
    </row>
    <row r="323" spans="1:9" ht="16.2" customHeight="1" x14ac:dyDescent="0.3">
      <c r="A323" s="9"/>
      <c r="B323" s="7" t="s">
        <v>196</v>
      </c>
      <c r="C323" s="5" t="s">
        <v>522</v>
      </c>
      <c r="D323" s="7" t="s">
        <v>198</v>
      </c>
      <c r="E323" s="6" t="str">
        <f t="shared" si="15"/>
        <v>tra</v>
      </c>
      <c r="F323" s="6" t="str">
        <f t="shared" si="16"/>
        <v>road</v>
      </c>
      <c r="G323" s="6" t="str">
        <f t="shared" si="17"/>
        <v>hcar_bev_pass_battery_flex_bi_1</v>
      </c>
      <c r="H323" s="7"/>
      <c r="I323" s="11"/>
    </row>
    <row r="324" spans="1:9" ht="16.2" customHeight="1" x14ac:dyDescent="0.3">
      <c r="A324" s="9"/>
      <c r="B324" s="7" t="s">
        <v>15</v>
      </c>
      <c r="C324" s="5" t="s">
        <v>523</v>
      </c>
      <c r="D324" s="7" t="s">
        <v>196</v>
      </c>
      <c r="E324" s="6" t="str">
        <f t="shared" si="15"/>
        <v>tra</v>
      </c>
      <c r="F324" s="6" t="str">
        <f t="shared" si="16"/>
        <v>road</v>
      </c>
      <c r="G324" s="6" t="str">
        <f t="shared" si="17"/>
        <v>hcar_bev_pass_wallbox_infl_uni_g2v_1</v>
      </c>
      <c r="H324" s="7"/>
      <c r="I324" s="11"/>
    </row>
    <row r="325" spans="1:9" ht="16.2" customHeight="1" x14ac:dyDescent="0.3">
      <c r="A325" s="9"/>
      <c r="B325" s="7" t="s">
        <v>15</v>
      </c>
      <c r="C325" s="17" t="s">
        <v>524</v>
      </c>
      <c r="D325" s="7" t="s">
        <v>196</v>
      </c>
      <c r="E325" s="6" t="str">
        <f t="shared" si="15"/>
        <v>tra</v>
      </c>
      <c r="F325" s="6" t="str">
        <f t="shared" si="16"/>
        <v>road</v>
      </c>
      <c r="G325" s="6" t="str">
        <f t="shared" si="17"/>
        <v>hcar_bev_pass_wallbox_flex_uni_g2v_1</v>
      </c>
      <c r="H325" s="7"/>
      <c r="I325" s="11"/>
    </row>
    <row r="326" spans="1:9" ht="16.2" customHeight="1" x14ac:dyDescent="0.3">
      <c r="A326" s="9"/>
      <c r="B326" s="7" t="s">
        <v>15</v>
      </c>
      <c r="C326" s="5" t="s">
        <v>525</v>
      </c>
      <c r="D326" s="7" t="s">
        <v>196</v>
      </c>
      <c r="E326" s="6" t="str">
        <f t="shared" si="15"/>
        <v>tra</v>
      </c>
      <c r="F326" s="6" t="str">
        <f t="shared" si="16"/>
        <v>road</v>
      </c>
      <c r="G326" s="6" t="str">
        <f t="shared" si="17"/>
        <v>hcar_bev_pass_wallbox_flex_bi_g2v_1</v>
      </c>
      <c r="H326" s="7"/>
      <c r="I326" s="11"/>
    </row>
    <row r="327" spans="1:9" ht="16.2" customHeight="1" x14ac:dyDescent="0.3">
      <c r="A327" s="9"/>
      <c r="B327" s="7" t="s">
        <v>198</v>
      </c>
      <c r="C327" s="5" t="s">
        <v>526</v>
      </c>
      <c r="D327" s="7" t="s">
        <v>15</v>
      </c>
      <c r="E327" s="6" t="str">
        <f t="shared" si="15"/>
        <v>tra</v>
      </c>
      <c r="F327" s="6" t="str">
        <f t="shared" si="16"/>
        <v>road</v>
      </c>
      <c r="G327" s="6" t="str">
        <f t="shared" si="17"/>
        <v>hcar_bev_pass_wallbox_flex_bi_v2g_1</v>
      </c>
      <c r="H327" s="7"/>
      <c r="I327" s="11"/>
    </row>
    <row r="328" spans="1:9" ht="16.2" customHeight="1" x14ac:dyDescent="0.3">
      <c r="A328" s="9"/>
      <c r="B328" s="7" t="s">
        <v>198</v>
      </c>
      <c r="C328" s="17" t="s">
        <v>527</v>
      </c>
      <c r="D328" s="7" t="s">
        <v>245</v>
      </c>
      <c r="E328" s="6" t="str">
        <f t="shared" si="15"/>
        <v>tra</v>
      </c>
      <c r="F328" s="6" t="str">
        <f t="shared" si="16"/>
        <v>road</v>
      </c>
      <c r="G328" s="6" t="str">
        <f t="shared" si="17"/>
        <v>hcar_bev_pass_engine_infl_uni_1</v>
      </c>
      <c r="H328" s="7"/>
      <c r="I328" s="11"/>
    </row>
    <row r="329" spans="1:9" ht="16.2" customHeight="1" x14ac:dyDescent="0.3">
      <c r="A329" s="9"/>
      <c r="B329" s="7" t="s">
        <v>198</v>
      </c>
      <c r="C329" s="17" t="s">
        <v>528</v>
      </c>
      <c r="D329" s="7" t="s">
        <v>245</v>
      </c>
      <c r="E329" s="6" t="str">
        <f t="shared" si="15"/>
        <v>tra</v>
      </c>
      <c r="F329" s="6" t="str">
        <f t="shared" si="16"/>
        <v>road</v>
      </c>
      <c r="G329" s="6" t="str">
        <f t="shared" si="17"/>
        <v>hcar_bev_pass_engine_flex_uni_1</v>
      </c>
      <c r="H329" s="7"/>
      <c r="I329" s="11"/>
    </row>
    <row r="330" spans="1:9" ht="16.2" customHeight="1" x14ac:dyDescent="0.3">
      <c r="A330" s="9"/>
      <c r="B330" s="7" t="s">
        <v>198</v>
      </c>
      <c r="C330" s="5" t="s">
        <v>529</v>
      </c>
      <c r="D330" s="7" t="s">
        <v>245</v>
      </c>
      <c r="E330" s="6" t="str">
        <f t="shared" si="15"/>
        <v>tra</v>
      </c>
      <c r="F330" s="6" t="str">
        <f t="shared" si="16"/>
        <v>road</v>
      </c>
      <c r="G330" s="6" t="str">
        <f t="shared" si="17"/>
        <v>hcar_bev_pass_engine_flex_bi_1</v>
      </c>
      <c r="H330" s="7"/>
      <c r="I330" s="11"/>
    </row>
    <row r="331" spans="1:9" ht="16.2" customHeight="1" x14ac:dyDescent="0.3">
      <c r="A331" s="9"/>
      <c r="B331" s="7" t="s">
        <v>208</v>
      </c>
      <c r="C331" s="5" t="s">
        <v>530</v>
      </c>
      <c r="D331" s="7" t="s">
        <v>257</v>
      </c>
      <c r="E331" s="6" t="str">
        <f t="shared" si="15"/>
        <v>tra</v>
      </c>
      <c r="F331" s="6" t="str">
        <f t="shared" si="16"/>
        <v>road</v>
      </c>
      <c r="G331" s="6" t="str">
        <f t="shared" si="17"/>
        <v>hcar_hyb_pass_gasoline_1</v>
      </c>
      <c r="H331" s="7"/>
      <c r="I331" s="10" t="s">
        <v>26</v>
      </c>
    </row>
    <row r="332" spans="1:9" ht="16.2" customHeight="1" x14ac:dyDescent="0.3">
      <c r="A332" s="9"/>
      <c r="B332" s="7" t="s">
        <v>152</v>
      </c>
      <c r="C332" s="5" t="s">
        <v>531</v>
      </c>
      <c r="D332" s="7" t="s">
        <v>257</v>
      </c>
      <c r="E332" s="6" t="str">
        <f t="shared" si="15"/>
        <v>tra</v>
      </c>
      <c r="F332" s="6" t="str">
        <f t="shared" si="16"/>
        <v>road</v>
      </c>
      <c r="G332" s="6" t="str">
        <f t="shared" si="17"/>
        <v>hcar_hyb_pass_diesel_1</v>
      </c>
      <c r="H332" s="7"/>
      <c r="I332" s="11"/>
    </row>
    <row r="333" spans="1:9" ht="16.2" customHeight="1" x14ac:dyDescent="0.3">
      <c r="A333" s="9"/>
      <c r="B333" s="7" t="s">
        <v>17</v>
      </c>
      <c r="C333" s="5" t="s">
        <v>532</v>
      </c>
      <c r="D333" s="7" t="s">
        <v>245</v>
      </c>
      <c r="E333" s="6" t="str">
        <f t="shared" si="15"/>
        <v>tra</v>
      </c>
      <c r="F333" s="6" t="str">
        <f t="shared" si="16"/>
        <v>road</v>
      </c>
      <c r="G333" s="6" t="str">
        <f t="shared" si="17"/>
        <v>hcar_ice_pass_hydrogen_1</v>
      </c>
      <c r="H333" s="7"/>
      <c r="I333" s="11"/>
    </row>
    <row r="334" spans="1:9" ht="16.2" customHeight="1" x14ac:dyDescent="0.3">
      <c r="A334" s="9"/>
      <c r="B334" s="7" t="s">
        <v>35</v>
      </c>
      <c r="C334" s="5" t="s">
        <v>533</v>
      </c>
      <c r="D334" s="7" t="s">
        <v>261</v>
      </c>
      <c r="E334" s="6" t="str">
        <f t="shared" si="15"/>
        <v>tra</v>
      </c>
      <c r="F334" s="6" t="str">
        <f t="shared" si="16"/>
        <v>road</v>
      </c>
      <c r="G334" s="6" t="str">
        <f t="shared" si="17"/>
        <v>hcar_ice_pass_methanol_1</v>
      </c>
      <c r="H334" s="7"/>
      <c r="I334" s="10" t="s">
        <v>26</v>
      </c>
    </row>
    <row r="335" spans="1:9" ht="16.2" customHeight="1" x14ac:dyDescent="0.3">
      <c r="A335" s="9"/>
      <c r="B335" s="7" t="s">
        <v>27</v>
      </c>
      <c r="C335" s="5" t="s">
        <v>534</v>
      </c>
      <c r="D335" s="7" t="s">
        <v>257</v>
      </c>
      <c r="E335" s="6" t="str">
        <f t="shared" si="15"/>
        <v>tra</v>
      </c>
      <c r="F335" s="6" t="str">
        <f t="shared" si="16"/>
        <v>road</v>
      </c>
      <c r="G335" s="6" t="str">
        <f t="shared" si="17"/>
        <v>hcar_ice_pass_cng_1</v>
      </c>
      <c r="H335" s="7"/>
      <c r="I335" s="11"/>
    </row>
    <row r="336" spans="1:9" ht="16.2" customHeight="1" x14ac:dyDescent="0.3">
      <c r="A336" s="9"/>
      <c r="B336" s="7" t="s">
        <v>38</v>
      </c>
      <c r="C336" s="5" t="s">
        <v>535</v>
      </c>
      <c r="D336" s="7" t="s">
        <v>257</v>
      </c>
      <c r="E336" s="6" t="str">
        <f t="shared" si="15"/>
        <v>tra</v>
      </c>
      <c r="F336" s="6" t="str">
        <f t="shared" si="16"/>
        <v>road</v>
      </c>
      <c r="G336" s="6" t="str">
        <f t="shared" si="17"/>
        <v>hcar_ice_pass_lpg_1</v>
      </c>
      <c r="H336" s="7"/>
      <c r="I336" s="10" t="s">
        <v>26</v>
      </c>
    </row>
    <row r="337" spans="1:9" ht="16.2" customHeight="1" x14ac:dyDescent="0.3">
      <c r="A337" s="9"/>
      <c r="B337" s="7" t="s">
        <v>30</v>
      </c>
      <c r="C337" s="5" t="s">
        <v>536</v>
      </c>
      <c r="D337" s="7" t="s">
        <v>257</v>
      </c>
      <c r="E337" s="6" t="str">
        <f t="shared" si="15"/>
        <v>tra</v>
      </c>
      <c r="F337" s="6" t="str">
        <f t="shared" si="16"/>
        <v>road</v>
      </c>
      <c r="G337" s="6" t="str">
        <f t="shared" si="17"/>
        <v>hcar_ice_pass_gasoline_1</v>
      </c>
      <c r="H337" s="7"/>
      <c r="I337" s="11"/>
    </row>
    <row r="338" spans="1:9" ht="16.2" customHeight="1" x14ac:dyDescent="0.3">
      <c r="A338" s="9"/>
      <c r="B338" s="7" t="s">
        <v>13</v>
      </c>
      <c r="C338" s="5" t="s">
        <v>537</v>
      </c>
      <c r="D338" s="7" t="s">
        <v>257</v>
      </c>
      <c r="E338" s="6" t="str">
        <f t="shared" si="15"/>
        <v>tra</v>
      </c>
      <c r="F338" s="6" t="str">
        <f t="shared" si="16"/>
        <v>road</v>
      </c>
      <c r="G338" s="6" t="str">
        <f t="shared" si="17"/>
        <v>hcar_ice_pass_diesel_1</v>
      </c>
      <c r="H338" s="7"/>
      <c r="I338" s="11"/>
    </row>
    <row r="339" spans="1:9" ht="16.2" customHeight="1" x14ac:dyDescent="0.3">
      <c r="A339" s="9"/>
      <c r="B339" s="7" t="s">
        <v>219</v>
      </c>
      <c r="C339" s="5" t="s">
        <v>538</v>
      </c>
      <c r="D339" s="7" t="s">
        <v>257</v>
      </c>
      <c r="E339" s="6" t="str">
        <f t="shared" si="15"/>
        <v>tra</v>
      </c>
      <c r="F339" s="6" t="str">
        <f t="shared" si="16"/>
        <v>road</v>
      </c>
      <c r="G339" s="6" t="str">
        <f t="shared" si="17"/>
        <v>hcar_ice_pass_flex_1</v>
      </c>
      <c r="H339" s="7"/>
      <c r="I339" s="10" t="s">
        <v>26</v>
      </c>
    </row>
    <row r="340" spans="1:9" ht="16.2" customHeight="1" x14ac:dyDescent="0.3">
      <c r="A340" s="9"/>
      <c r="B340" s="7" t="s">
        <v>15</v>
      </c>
      <c r="C340" s="5" t="s">
        <v>539</v>
      </c>
      <c r="D340" s="7" t="s">
        <v>268</v>
      </c>
      <c r="E340" s="6" t="str">
        <f t="shared" si="15"/>
        <v>tra</v>
      </c>
      <c r="F340" s="6" t="str">
        <f t="shared" si="16"/>
        <v>road</v>
      </c>
      <c r="G340" s="6" t="str">
        <f t="shared" si="17"/>
        <v>motorc_bev_pass_1</v>
      </c>
      <c r="H340" s="7"/>
      <c r="I340" s="10" t="s">
        <v>26</v>
      </c>
    </row>
    <row r="341" spans="1:9" ht="16.2" customHeight="1" x14ac:dyDescent="0.3">
      <c r="A341" s="9"/>
      <c r="B341" s="7" t="s">
        <v>30</v>
      </c>
      <c r="C341" s="5" t="s">
        <v>540</v>
      </c>
      <c r="D341" s="7" t="s">
        <v>270</v>
      </c>
      <c r="E341" s="6" t="str">
        <f t="shared" si="15"/>
        <v>tra</v>
      </c>
      <c r="F341" s="6" t="str">
        <f t="shared" si="16"/>
        <v>road</v>
      </c>
      <c r="G341" s="6" t="str">
        <f t="shared" si="17"/>
        <v>motorc_ice_pass_gasoline_1</v>
      </c>
      <c r="H341" s="7"/>
      <c r="I341" s="11"/>
    </row>
    <row r="342" spans="1:9" ht="16.2" customHeight="1" x14ac:dyDescent="0.3">
      <c r="A342" s="9"/>
      <c r="B342" s="7" t="s">
        <v>17</v>
      </c>
      <c r="C342" s="17" t="s">
        <v>541</v>
      </c>
      <c r="D342" s="7" t="s">
        <v>272</v>
      </c>
      <c r="E342" s="6" t="str">
        <f t="shared" si="15"/>
        <v>tra</v>
      </c>
      <c r="F342" s="6" t="str">
        <f t="shared" si="16"/>
        <v>road</v>
      </c>
      <c r="G342" s="6" t="str">
        <f t="shared" si="17"/>
        <v>ltruck_fcev_frei_hydrogen_1</v>
      </c>
      <c r="H342" s="7"/>
      <c r="I342" s="10" t="s">
        <v>122</v>
      </c>
    </row>
    <row r="343" spans="1:9" ht="16.2" customHeight="1" x14ac:dyDescent="0.3">
      <c r="A343" s="9"/>
      <c r="B343" s="7" t="s">
        <v>196</v>
      </c>
      <c r="C343" s="5" t="s">
        <v>542</v>
      </c>
      <c r="D343" s="7" t="s">
        <v>198</v>
      </c>
      <c r="E343" s="6" t="str">
        <f t="shared" si="15"/>
        <v>tra</v>
      </c>
      <c r="F343" s="6" t="str">
        <f t="shared" si="16"/>
        <v>road</v>
      </c>
      <c r="G343" s="6" t="str">
        <f t="shared" si="17"/>
        <v>ltruck_bev_frei_battery_infl_uni_1</v>
      </c>
      <c r="H343" s="7"/>
      <c r="I343" s="11"/>
    </row>
    <row r="344" spans="1:9" ht="16.2" customHeight="1" x14ac:dyDescent="0.3">
      <c r="A344" s="9"/>
      <c r="B344" s="7" t="s">
        <v>196</v>
      </c>
      <c r="C344" s="5" t="s">
        <v>543</v>
      </c>
      <c r="D344" s="7" t="s">
        <v>198</v>
      </c>
      <c r="E344" s="6" t="str">
        <f t="shared" si="15"/>
        <v>tra</v>
      </c>
      <c r="F344" s="6" t="str">
        <f t="shared" si="16"/>
        <v>road</v>
      </c>
      <c r="G344" s="6" t="str">
        <f t="shared" si="17"/>
        <v>ltruck_bev_frei_battery_flex_uni_1</v>
      </c>
      <c r="H344" s="7"/>
      <c r="I344" s="11"/>
    </row>
    <row r="345" spans="1:9" ht="16.2" customHeight="1" x14ac:dyDescent="0.3">
      <c r="A345" s="9"/>
      <c r="B345" s="7" t="s">
        <v>196</v>
      </c>
      <c r="C345" s="17" t="s">
        <v>544</v>
      </c>
      <c r="D345" s="7" t="s">
        <v>198</v>
      </c>
      <c r="E345" s="6" t="str">
        <f t="shared" si="15"/>
        <v>tra</v>
      </c>
      <c r="F345" s="6" t="str">
        <f t="shared" si="16"/>
        <v>road</v>
      </c>
      <c r="G345" s="6" t="str">
        <f t="shared" si="17"/>
        <v>ltruck_bev_frei_battery_flex_bi_1</v>
      </c>
      <c r="H345" s="7"/>
      <c r="I345" s="11"/>
    </row>
    <row r="346" spans="1:9" ht="16.2" customHeight="1" x14ac:dyDescent="0.3">
      <c r="A346" s="9"/>
      <c r="B346" s="7" t="s">
        <v>15</v>
      </c>
      <c r="C346" s="17" t="s">
        <v>545</v>
      </c>
      <c r="D346" s="7" t="s">
        <v>196</v>
      </c>
      <c r="E346" s="6" t="str">
        <f t="shared" si="15"/>
        <v>tra</v>
      </c>
      <c r="F346" s="6" t="str">
        <f t="shared" si="16"/>
        <v>road</v>
      </c>
      <c r="G346" s="6" t="str">
        <f t="shared" si="17"/>
        <v>ltruck_bev_frei_wallbox_infl_uni_g2v_1</v>
      </c>
      <c r="H346" s="7"/>
      <c r="I346" s="11"/>
    </row>
    <row r="347" spans="1:9" ht="16.2" customHeight="1" x14ac:dyDescent="0.3">
      <c r="A347" s="9"/>
      <c r="B347" s="7" t="s">
        <v>15</v>
      </c>
      <c r="C347" s="5" t="s">
        <v>546</v>
      </c>
      <c r="D347" s="7" t="s">
        <v>196</v>
      </c>
      <c r="E347" s="6" t="str">
        <f t="shared" si="15"/>
        <v>tra</v>
      </c>
      <c r="F347" s="6" t="str">
        <f t="shared" si="16"/>
        <v>road</v>
      </c>
      <c r="G347" s="6" t="str">
        <f t="shared" si="17"/>
        <v>ltruck_bev_frei_wallbox_flex_uni_g2v_1</v>
      </c>
      <c r="H347" s="7"/>
      <c r="I347" s="11"/>
    </row>
    <row r="348" spans="1:9" ht="16.2" customHeight="1" x14ac:dyDescent="0.3">
      <c r="A348" s="9"/>
      <c r="B348" s="7" t="s">
        <v>15</v>
      </c>
      <c r="C348" s="5" t="s">
        <v>547</v>
      </c>
      <c r="D348" s="7" t="s">
        <v>196</v>
      </c>
      <c r="E348" s="6" t="str">
        <f t="shared" si="15"/>
        <v>tra</v>
      </c>
      <c r="F348" s="6" t="str">
        <f t="shared" si="16"/>
        <v>road</v>
      </c>
      <c r="G348" s="6" t="str">
        <f t="shared" si="17"/>
        <v>ltruck_bev_frei_wallbox_flex_bi_g2v_1</v>
      </c>
      <c r="H348" s="7"/>
      <c r="I348" s="11"/>
    </row>
    <row r="349" spans="1:9" ht="16.2" customHeight="1" x14ac:dyDescent="0.3">
      <c r="A349" s="9"/>
      <c r="B349" s="7" t="s">
        <v>198</v>
      </c>
      <c r="C349" s="5" t="s">
        <v>548</v>
      </c>
      <c r="D349" s="7" t="s">
        <v>15</v>
      </c>
      <c r="E349" s="6" t="str">
        <f t="shared" si="15"/>
        <v>tra</v>
      </c>
      <c r="F349" s="6" t="str">
        <f t="shared" si="16"/>
        <v>road</v>
      </c>
      <c r="G349" s="6" t="str">
        <f t="shared" si="17"/>
        <v>ltruck_bev_frei_wallbox_flex_bi_v2g_1</v>
      </c>
      <c r="H349" s="7"/>
      <c r="I349" s="11"/>
    </row>
    <row r="350" spans="1:9" ht="16.2" customHeight="1" x14ac:dyDescent="0.3">
      <c r="A350" s="9"/>
      <c r="B350" s="7" t="s">
        <v>198</v>
      </c>
      <c r="C350" s="5" t="s">
        <v>549</v>
      </c>
      <c r="D350" s="7" t="s">
        <v>272</v>
      </c>
      <c r="E350" s="6" t="str">
        <f t="shared" si="15"/>
        <v>tra</v>
      </c>
      <c r="F350" s="6" t="str">
        <f t="shared" si="16"/>
        <v>road</v>
      </c>
      <c r="G350" s="6" t="str">
        <f t="shared" si="17"/>
        <v>ltruck_bev_frei_engine_infl_uni_1</v>
      </c>
      <c r="H350" s="7"/>
      <c r="I350" s="11"/>
    </row>
    <row r="351" spans="1:9" ht="16.2" customHeight="1" x14ac:dyDescent="0.3">
      <c r="A351" s="9"/>
      <c r="B351" s="7" t="s">
        <v>198</v>
      </c>
      <c r="C351" s="17" t="s">
        <v>550</v>
      </c>
      <c r="D351" s="7" t="s">
        <v>272</v>
      </c>
      <c r="E351" s="6" t="str">
        <f t="shared" si="15"/>
        <v>tra</v>
      </c>
      <c r="F351" s="6" t="str">
        <f t="shared" si="16"/>
        <v>road</v>
      </c>
      <c r="G351" s="6" t="str">
        <f t="shared" si="17"/>
        <v>ltruck_bev_frei_engine_flex_uni_1</v>
      </c>
      <c r="H351" s="7"/>
      <c r="I351" s="11"/>
    </row>
    <row r="352" spans="1:9" ht="16.2" customHeight="1" x14ac:dyDescent="0.3">
      <c r="A352" s="9"/>
      <c r="B352" s="7" t="s">
        <v>198</v>
      </c>
      <c r="C352" s="5" t="s">
        <v>551</v>
      </c>
      <c r="D352" s="7" t="s">
        <v>272</v>
      </c>
      <c r="E352" s="6" t="str">
        <f t="shared" si="15"/>
        <v>tra</v>
      </c>
      <c r="F352" s="6" t="str">
        <f t="shared" si="16"/>
        <v>road</v>
      </c>
      <c r="G352" s="6" t="str">
        <f t="shared" si="17"/>
        <v>ltruck_bev_frei_engine_flex_bi_1</v>
      </c>
      <c r="H352" s="7"/>
      <c r="I352" s="11"/>
    </row>
    <row r="353" spans="1:9" ht="16.2" customHeight="1" x14ac:dyDescent="0.3">
      <c r="A353" s="9"/>
      <c r="B353" s="7" t="s">
        <v>152</v>
      </c>
      <c r="C353" s="17" t="s">
        <v>552</v>
      </c>
      <c r="D353" s="7" t="s">
        <v>284</v>
      </c>
      <c r="E353" s="6" t="str">
        <f t="shared" si="15"/>
        <v>tra</v>
      </c>
      <c r="F353" s="6" t="str">
        <f t="shared" si="16"/>
        <v>road</v>
      </c>
      <c r="G353" s="6" t="str">
        <f t="shared" si="17"/>
        <v>ltruck_hyb_frei_diesel_1</v>
      </c>
      <c r="H353" s="7"/>
      <c r="I353" s="10" t="s">
        <v>26</v>
      </c>
    </row>
    <row r="354" spans="1:9" ht="16.2" customHeight="1" x14ac:dyDescent="0.3">
      <c r="A354" s="9"/>
      <c r="B354" s="7" t="s">
        <v>208</v>
      </c>
      <c r="C354" s="17" t="s">
        <v>553</v>
      </c>
      <c r="D354" s="7" t="s">
        <v>284</v>
      </c>
      <c r="E354" s="6" t="str">
        <f t="shared" si="15"/>
        <v>tra</v>
      </c>
      <c r="F354" s="6" t="str">
        <f t="shared" si="16"/>
        <v>road</v>
      </c>
      <c r="G354" s="6" t="str">
        <f t="shared" si="17"/>
        <v>ltruck_hyb_frei_gasoline_1</v>
      </c>
      <c r="H354" s="7"/>
      <c r="I354" s="11"/>
    </row>
    <row r="355" spans="1:9" ht="16.2" customHeight="1" x14ac:dyDescent="0.3">
      <c r="A355" s="9"/>
      <c r="B355" s="7" t="s">
        <v>35</v>
      </c>
      <c r="C355" s="5" t="s">
        <v>554</v>
      </c>
      <c r="D355" s="7" t="s">
        <v>287</v>
      </c>
      <c r="E355" s="6" t="str">
        <f t="shared" si="15"/>
        <v>tra</v>
      </c>
      <c r="F355" s="6" t="str">
        <f t="shared" si="16"/>
        <v>road</v>
      </c>
      <c r="G355" s="6" t="str">
        <f t="shared" si="17"/>
        <v>ltruck_ice_frei_methanol_1</v>
      </c>
      <c r="H355" s="7"/>
      <c r="I355" s="10" t="s">
        <v>26</v>
      </c>
    </row>
    <row r="356" spans="1:9" ht="16.2" customHeight="1" x14ac:dyDescent="0.3">
      <c r="A356" s="9"/>
      <c r="B356" s="7" t="s">
        <v>27</v>
      </c>
      <c r="C356" s="5" t="s">
        <v>555</v>
      </c>
      <c r="D356" s="7" t="s">
        <v>284</v>
      </c>
      <c r="E356" s="6" t="str">
        <f t="shared" si="15"/>
        <v>tra</v>
      </c>
      <c r="F356" s="6" t="str">
        <f t="shared" si="16"/>
        <v>road</v>
      </c>
      <c r="G356" s="6" t="str">
        <f t="shared" si="17"/>
        <v>ltruck_ice_frei_cng_1</v>
      </c>
      <c r="H356" s="7"/>
      <c r="I356" s="11"/>
    </row>
    <row r="357" spans="1:9" ht="16.2" customHeight="1" x14ac:dyDescent="0.3">
      <c r="A357" s="9"/>
      <c r="B357" s="7" t="s">
        <v>36</v>
      </c>
      <c r="C357" s="5" t="s">
        <v>556</v>
      </c>
      <c r="D357" s="7" t="s">
        <v>287</v>
      </c>
      <c r="E357" s="6" t="str">
        <f t="shared" si="15"/>
        <v>tra</v>
      </c>
      <c r="F357" s="6" t="str">
        <f t="shared" si="16"/>
        <v>road</v>
      </c>
      <c r="G357" s="6" t="str">
        <f t="shared" si="17"/>
        <v>ltruck_ice_frei_ethanol_1</v>
      </c>
      <c r="H357" s="7"/>
      <c r="I357" s="11"/>
    </row>
    <row r="358" spans="1:9" ht="16.2" customHeight="1" x14ac:dyDescent="0.3">
      <c r="A358" s="9"/>
      <c r="B358" s="7" t="s">
        <v>38</v>
      </c>
      <c r="C358" s="5" t="s">
        <v>557</v>
      </c>
      <c r="D358" s="7" t="s">
        <v>284</v>
      </c>
      <c r="E358" s="6" t="str">
        <f t="shared" si="15"/>
        <v>tra</v>
      </c>
      <c r="F358" s="6" t="str">
        <f t="shared" si="16"/>
        <v>road</v>
      </c>
      <c r="G358" s="6" t="str">
        <f t="shared" si="17"/>
        <v>ltruck_ice_frei_lpg_1</v>
      </c>
      <c r="H358" s="7"/>
      <c r="I358" s="10" t="s">
        <v>26</v>
      </c>
    </row>
    <row r="359" spans="1:9" ht="16.2" customHeight="1" x14ac:dyDescent="0.3">
      <c r="A359" s="9"/>
      <c r="B359" s="7" t="s">
        <v>17</v>
      </c>
      <c r="C359" s="5" t="s">
        <v>558</v>
      </c>
      <c r="D359" s="7" t="s">
        <v>272</v>
      </c>
      <c r="E359" s="6" t="str">
        <f t="shared" si="15"/>
        <v>tra</v>
      </c>
      <c r="F359" s="6" t="str">
        <f t="shared" si="16"/>
        <v>road</v>
      </c>
      <c r="G359" s="6" t="str">
        <f t="shared" si="17"/>
        <v>ltruck_ice_frei_hydrogen_1</v>
      </c>
      <c r="H359" s="7"/>
      <c r="I359" s="10" t="s">
        <v>26</v>
      </c>
    </row>
    <row r="360" spans="1:9" ht="16.2" customHeight="1" x14ac:dyDescent="0.3">
      <c r="A360" s="9"/>
      <c r="B360" s="7" t="s">
        <v>30</v>
      </c>
      <c r="C360" s="5" t="s">
        <v>559</v>
      </c>
      <c r="D360" s="7" t="s">
        <v>284</v>
      </c>
      <c r="E360" s="6" t="str">
        <f t="shared" si="15"/>
        <v>tra</v>
      </c>
      <c r="F360" s="6" t="str">
        <f t="shared" si="16"/>
        <v>road</v>
      </c>
      <c r="G360" s="6" t="str">
        <f t="shared" si="17"/>
        <v>ltruck_ice_frei_gasoline_1</v>
      </c>
      <c r="H360" s="7"/>
      <c r="I360" s="10" t="s">
        <v>26</v>
      </c>
    </row>
    <row r="361" spans="1:9" ht="16.2" customHeight="1" x14ac:dyDescent="0.3">
      <c r="A361" s="20" t="s">
        <v>55</v>
      </c>
      <c r="B361" s="7" t="s">
        <v>13</v>
      </c>
      <c r="C361" s="5" t="s">
        <v>560</v>
      </c>
      <c r="D361" s="7" t="s">
        <v>284</v>
      </c>
      <c r="E361" s="6" t="str">
        <f t="shared" si="15"/>
        <v>tra</v>
      </c>
      <c r="F361" s="6" t="str">
        <f t="shared" si="16"/>
        <v>road</v>
      </c>
      <c r="G361" s="6" t="str">
        <f t="shared" si="17"/>
        <v>ltruck_ice_frei_diesel_1</v>
      </c>
      <c r="H361" s="7"/>
      <c r="I361" s="11"/>
    </row>
    <row r="362" spans="1:9" ht="16.2" customHeight="1" x14ac:dyDescent="0.3">
      <c r="A362" s="20" t="s">
        <v>55</v>
      </c>
      <c r="B362" s="7" t="s">
        <v>17</v>
      </c>
      <c r="C362" s="5" t="s">
        <v>561</v>
      </c>
      <c r="D362" s="7" t="s">
        <v>295</v>
      </c>
      <c r="E362" s="6" t="str">
        <f t="shared" si="15"/>
        <v>tra</v>
      </c>
      <c r="F362" s="6" t="str">
        <f t="shared" si="16"/>
        <v>road</v>
      </c>
      <c r="G362" s="6" t="str">
        <f t="shared" si="17"/>
        <v>mtruck_fcev_frei_hydrogen_1</v>
      </c>
      <c r="H362" s="7"/>
      <c r="I362" s="11"/>
    </row>
    <row r="363" spans="1:9" ht="16.2" customHeight="1" x14ac:dyDescent="0.3">
      <c r="A363" s="20" t="s">
        <v>55</v>
      </c>
      <c r="B363" s="7" t="s">
        <v>196</v>
      </c>
      <c r="C363" s="5" t="s">
        <v>562</v>
      </c>
      <c r="D363" s="7" t="s">
        <v>198</v>
      </c>
      <c r="E363" s="6" t="str">
        <f t="shared" si="15"/>
        <v>tra</v>
      </c>
      <c r="F363" s="6" t="str">
        <f t="shared" si="16"/>
        <v>road</v>
      </c>
      <c r="G363" s="6" t="str">
        <f t="shared" si="17"/>
        <v>mtruck_bev_frei_battery_infl_uni_1</v>
      </c>
      <c r="H363" s="7"/>
      <c r="I363" s="11"/>
    </row>
    <row r="364" spans="1:9" ht="16.2" customHeight="1" x14ac:dyDescent="0.3">
      <c r="A364" s="20" t="s">
        <v>55</v>
      </c>
      <c r="B364" s="7" t="s">
        <v>196</v>
      </c>
      <c r="C364" s="5" t="s">
        <v>563</v>
      </c>
      <c r="D364" s="7" t="s">
        <v>198</v>
      </c>
      <c r="E364" s="6" t="str">
        <f t="shared" si="15"/>
        <v>tra</v>
      </c>
      <c r="F364" s="6" t="str">
        <f t="shared" si="16"/>
        <v>road</v>
      </c>
      <c r="G364" s="6" t="str">
        <f t="shared" si="17"/>
        <v>mtruck_bev_frei_battery_flex_uni_1</v>
      </c>
      <c r="H364" s="7"/>
      <c r="I364" s="11"/>
    </row>
    <row r="365" spans="1:9" ht="16.2" customHeight="1" x14ac:dyDescent="0.3">
      <c r="A365" s="20" t="s">
        <v>55</v>
      </c>
      <c r="B365" s="7" t="s">
        <v>196</v>
      </c>
      <c r="C365" s="5" t="s">
        <v>564</v>
      </c>
      <c r="D365" s="7" t="s">
        <v>198</v>
      </c>
      <c r="E365" s="6" t="str">
        <f t="shared" si="15"/>
        <v>tra</v>
      </c>
      <c r="F365" s="6" t="str">
        <f t="shared" si="16"/>
        <v>road</v>
      </c>
      <c r="G365" s="6" t="str">
        <f t="shared" si="17"/>
        <v>mtruck_bev_frei_battery_flex_bi_1</v>
      </c>
      <c r="H365" s="7"/>
      <c r="I365" s="11"/>
    </row>
    <row r="366" spans="1:9" ht="16.2" customHeight="1" x14ac:dyDescent="0.3">
      <c r="A366" s="20" t="s">
        <v>55</v>
      </c>
      <c r="B366" s="7" t="s">
        <v>15</v>
      </c>
      <c r="C366" s="5" t="s">
        <v>565</v>
      </c>
      <c r="D366" s="7" t="s">
        <v>196</v>
      </c>
      <c r="E366" s="6" t="str">
        <f t="shared" si="15"/>
        <v>tra</v>
      </c>
      <c r="F366" s="6" t="str">
        <f t="shared" si="16"/>
        <v>road</v>
      </c>
      <c r="G366" s="6" t="str">
        <f t="shared" si="17"/>
        <v>mtruck_bev_frei_wallbox_infl_uni_g2v_1</v>
      </c>
      <c r="H366" s="7"/>
      <c r="I366" s="11"/>
    </row>
    <row r="367" spans="1:9" ht="16.2" customHeight="1" x14ac:dyDescent="0.3">
      <c r="A367" s="20" t="s">
        <v>55</v>
      </c>
      <c r="B367" s="7" t="s">
        <v>15</v>
      </c>
      <c r="C367" s="17" t="s">
        <v>566</v>
      </c>
      <c r="D367" s="7" t="s">
        <v>196</v>
      </c>
      <c r="E367" s="6" t="str">
        <f t="shared" si="15"/>
        <v>tra</v>
      </c>
      <c r="F367" s="6" t="str">
        <f t="shared" si="16"/>
        <v>road</v>
      </c>
      <c r="G367" s="6" t="str">
        <f t="shared" si="17"/>
        <v>mtruck_bev_frei_wallbox_flex_uni_g2v_1</v>
      </c>
      <c r="H367" s="7"/>
      <c r="I367" s="11"/>
    </row>
    <row r="368" spans="1:9" ht="16.2" customHeight="1" x14ac:dyDescent="0.3">
      <c r="A368" s="20"/>
      <c r="B368" s="7" t="s">
        <v>15</v>
      </c>
      <c r="C368" s="5" t="s">
        <v>567</v>
      </c>
      <c r="D368" s="7" t="s">
        <v>196</v>
      </c>
      <c r="E368" s="6" t="str">
        <f t="shared" ref="E368:E431" si="18">_xlfn.TEXTBEFORE($C368,"_")</f>
        <v>tra</v>
      </c>
      <c r="F368" s="6" t="str">
        <f t="shared" ref="F368:F431" si="19">_xlfn.TEXTBEFORE(_xlfn.TEXTAFTER($C368,_xlfn.CONCAT(E368,"_")),"_")</f>
        <v>road</v>
      </c>
      <c r="G368" s="6" t="str">
        <f t="shared" ref="G368:G431" si="20">_xlfn.TEXTAFTER($C368,_xlfn.CONCAT(F368,"_"))</f>
        <v>mtruck_bev_frei_wallbox_flex_bi_g2v_1</v>
      </c>
      <c r="H368" s="7"/>
      <c r="I368" s="11"/>
    </row>
    <row r="369" spans="1:9" ht="16.2" customHeight="1" x14ac:dyDescent="0.3">
      <c r="A369" s="20" t="s">
        <v>55</v>
      </c>
      <c r="B369" s="7" t="s">
        <v>198</v>
      </c>
      <c r="C369" s="5" t="s">
        <v>568</v>
      </c>
      <c r="D369" s="7" t="s">
        <v>15</v>
      </c>
      <c r="E369" s="6" t="str">
        <f t="shared" si="18"/>
        <v>tra</v>
      </c>
      <c r="F369" s="6" t="str">
        <f t="shared" si="19"/>
        <v>road</v>
      </c>
      <c r="G369" s="6" t="str">
        <f t="shared" si="20"/>
        <v>mtruck_bev_frei_wallbox_flex_bi_v2g_1</v>
      </c>
      <c r="H369" s="7"/>
      <c r="I369" s="11"/>
    </row>
    <row r="370" spans="1:9" ht="16.2" customHeight="1" x14ac:dyDescent="0.3">
      <c r="A370" s="20" t="s">
        <v>55</v>
      </c>
      <c r="B370" s="7" t="s">
        <v>198</v>
      </c>
      <c r="C370" s="5" t="s">
        <v>569</v>
      </c>
      <c r="D370" s="7" t="s">
        <v>295</v>
      </c>
      <c r="E370" s="6" t="str">
        <f t="shared" si="18"/>
        <v>tra</v>
      </c>
      <c r="F370" s="6" t="str">
        <f t="shared" si="19"/>
        <v>road</v>
      </c>
      <c r="G370" s="6" t="str">
        <f t="shared" si="20"/>
        <v>mtruck_bev_frei_engine_infl_uni_1</v>
      </c>
      <c r="H370" s="7"/>
      <c r="I370" s="11"/>
    </row>
    <row r="371" spans="1:9" ht="16.2" customHeight="1" x14ac:dyDescent="0.3">
      <c r="A371" s="20" t="s">
        <v>55</v>
      </c>
      <c r="B371" s="7" t="s">
        <v>198</v>
      </c>
      <c r="C371" s="17" t="s">
        <v>570</v>
      </c>
      <c r="D371" s="7" t="s">
        <v>295</v>
      </c>
      <c r="E371" s="6" t="str">
        <f t="shared" si="18"/>
        <v>tra</v>
      </c>
      <c r="F371" s="6" t="str">
        <f t="shared" si="19"/>
        <v>road</v>
      </c>
      <c r="G371" s="6" t="str">
        <f t="shared" si="20"/>
        <v>mtruck_bev_frei_engine_flex_uni_1</v>
      </c>
      <c r="H371" s="7"/>
      <c r="I371" s="11"/>
    </row>
    <row r="372" spans="1:9" ht="16.2" customHeight="1" x14ac:dyDescent="0.3">
      <c r="A372" s="20" t="s">
        <v>55</v>
      </c>
      <c r="B372" s="7" t="s">
        <v>198</v>
      </c>
      <c r="C372" s="17" t="s">
        <v>571</v>
      </c>
      <c r="D372" s="7" t="s">
        <v>295</v>
      </c>
      <c r="E372" s="6" t="str">
        <f t="shared" si="18"/>
        <v>tra</v>
      </c>
      <c r="F372" s="6" t="str">
        <f t="shared" si="19"/>
        <v>road</v>
      </c>
      <c r="G372" s="6" t="str">
        <f t="shared" si="20"/>
        <v>mtruck_bev_frei_engine_flex_bi_1</v>
      </c>
      <c r="H372" s="7"/>
      <c r="I372" s="11"/>
    </row>
    <row r="373" spans="1:9" ht="16.2" customHeight="1" x14ac:dyDescent="0.3">
      <c r="A373" s="20" t="s">
        <v>55</v>
      </c>
      <c r="B373" s="7" t="s">
        <v>152</v>
      </c>
      <c r="C373" s="5" t="s">
        <v>572</v>
      </c>
      <c r="D373" s="7" t="s">
        <v>307</v>
      </c>
      <c r="E373" s="6" t="str">
        <f t="shared" si="18"/>
        <v>tra</v>
      </c>
      <c r="F373" s="6" t="str">
        <f t="shared" si="19"/>
        <v>road</v>
      </c>
      <c r="G373" s="6" t="str">
        <f t="shared" si="20"/>
        <v>mtruck_hyb_frei_diesel_1</v>
      </c>
      <c r="H373" s="7"/>
      <c r="I373" s="16"/>
    </row>
    <row r="374" spans="1:9" ht="16.2" customHeight="1" x14ac:dyDescent="0.3">
      <c r="A374" s="20" t="s">
        <v>55</v>
      </c>
      <c r="B374" s="7" t="s">
        <v>208</v>
      </c>
      <c r="C374" s="5" t="s">
        <v>573</v>
      </c>
      <c r="D374" s="7" t="s">
        <v>307</v>
      </c>
      <c r="E374" s="6" t="str">
        <f t="shared" si="18"/>
        <v>tra</v>
      </c>
      <c r="F374" s="6" t="str">
        <f t="shared" si="19"/>
        <v>road</v>
      </c>
      <c r="G374" s="6" t="str">
        <f t="shared" si="20"/>
        <v>mtruck_hyb_frei_gasoline_1</v>
      </c>
      <c r="H374" s="7"/>
      <c r="I374" s="16"/>
    </row>
    <row r="375" spans="1:9" ht="16.2" customHeight="1" x14ac:dyDescent="0.3">
      <c r="A375" s="20" t="s">
        <v>55</v>
      </c>
      <c r="B375" s="7" t="s">
        <v>35</v>
      </c>
      <c r="C375" s="5" t="s">
        <v>574</v>
      </c>
      <c r="D375" s="7" t="s">
        <v>310</v>
      </c>
      <c r="E375" s="6" t="str">
        <f t="shared" si="18"/>
        <v>tra</v>
      </c>
      <c r="F375" s="6" t="str">
        <f t="shared" si="19"/>
        <v>road</v>
      </c>
      <c r="G375" s="6" t="str">
        <f t="shared" si="20"/>
        <v>mtruck_ice_frei_methanol_1</v>
      </c>
      <c r="H375" s="7"/>
      <c r="I375" s="16"/>
    </row>
    <row r="376" spans="1:9" ht="16.2" customHeight="1" x14ac:dyDescent="0.3">
      <c r="A376" s="9"/>
      <c r="B376" s="7" t="s">
        <v>11</v>
      </c>
      <c r="C376" s="5" t="s">
        <v>575</v>
      </c>
      <c r="D376" s="7" t="s">
        <v>307</v>
      </c>
      <c r="E376" s="6" t="str">
        <f t="shared" si="18"/>
        <v>tra</v>
      </c>
      <c r="F376" s="6" t="str">
        <f t="shared" si="19"/>
        <v>road</v>
      </c>
      <c r="G376" s="6" t="str">
        <f t="shared" si="20"/>
        <v>mtruck_ice_frei_lng_1</v>
      </c>
      <c r="H376" s="7"/>
      <c r="I376" s="16"/>
    </row>
    <row r="377" spans="1:9" ht="16.2" customHeight="1" x14ac:dyDescent="0.3">
      <c r="A377" s="9"/>
      <c r="B377" s="7" t="s">
        <v>27</v>
      </c>
      <c r="C377" s="5" t="s">
        <v>576</v>
      </c>
      <c r="D377" s="7" t="s">
        <v>307</v>
      </c>
      <c r="E377" s="6" t="str">
        <f t="shared" si="18"/>
        <v>tra</v>
      </c>
      <c r="F377" s="6" t="str">
        <f t="shared" si="19"/>
        <v>road</v>
      </c>
      <c r="G377" s="6" t="str">
        <f t="shared" si="20"/>
        <v>mtruck_ice_frei_cng_1</v>
      </c>
      <c r="H377" s="7"/>
      <c r="I377" s="16"/>
    </row>
    <row r="378" spans="1:9" ht="16.2" customHeight="1" x14ac:dyDescent="0.3">
      <c r="A378" s="9"/>
      <c r="B378" s="7" t="s">
        <v>36</v>
      </c>
      <c r="C378" s="5" t="s">
        <v>577</v>
      </c>
      <c r="D378" s="7" t="s">
        <v>310</v>
      </c>
      <c r="E378" s="6" t="str">
        <f t="shared" si="18"/>
        <v>tra</v>
      </c>
      <c r="F378" s="6" t="str">
        <f t="shared" si="19"/>
        <v>road</v>
      </c>
      <c r="G378" s="6" t="str">
        <f t="shared" si="20"/>
        <v>mtruck_ice_frei_ethanol_1</v>
      </c>
      <c r="H378" s="7"/>
      <c r="I378" s="16"/>
    </row>
    <row r="379" spans="1:9" ht="16.2" customHeight="1" x14ac:dyDescent="0.3">
      <c r="A379" s="9"/>
      <c r="B379" s="7" t="s">
        <v>38</v>
      </c>
      <c r="C379" s="5" t="s">
        <v>578</v>
      </c>
      <c r="D379" s="7" t="s">
        <v>307</v>
      </c>
      <c r="E379" s="6" t="str">
        <f t="shared" si="18"/>
        <v>tra</v>
      </c>
      <c r="F379" s="6" t="str">
        <f t="shared" si="19"/>
        <v>road</v>
      </c>
      <c r="G379" s="6" t="str">
        <f t="shared" si="20"/>
        <v>mtruck_ice_frei_lpg_1</v>
      </c>
      <c r="H379" s="7"/>
      <c r="I379" s="10" t="s">
        <v>26</v>
      </c>
    </row>
    <row r="380" spans="1:9" ht="16.2" customHeight="1" x14ac:dyDescent="0.3">
      <c r="A380" s="9"/>
      <c r="B380" s="7" t="s">
        <v>17</v>
      </c>
      <c r="C380" s="5" t="s">
        <v>579</v>
      </c>
      <c r="D380" s="7" t="s">
        <v>295</v>
      </c>
      <c r="E380" s="6" t="str">
        <f t="shared" si="18"/>
        <v>tra</v>
      </c>
      <c r="F380" s="6" t="str">
        <f t="shared" si="19"/>
        <v>road</v>
      </c>
      <c r="G380" s="6" t="str">
        <f t="shared" si="20"/>
        <v>mtruck_ice_frei_hydrogen_1</v>
      </c>
      <c r="H380" s="7"/>
      <c r="I380" s="16"/>
    </row>
    <row r="381" spans="1:9" ht="16.2" customHeight="1" x14ac:dyDescent="0.3">
      <c r="A381" s="9"/>
      <c r="B381" s="7" t="s">
        <v>30</v>
      </c>
      <c r="C381" s="5" t="s">
        <v>580</v>
      </c>
      <c r="D381" s="7" t="s">
        <v>307</v>
      </c>
      <c r="E381" s="6" t="str">
        <f t="shared" si="18"/>
        <v>tra</v>
      </c>
      <c r="F381" s="6" t="str">
        <f t="shared" si="19"/>
        <v>road</v>
      </c>
      <c r="G381" s="6" t="str">
        <f t="shared" si="20"/>
        <v>mtruck_ice_frei_gasoline_1</v>
      </c>
      <c r="H381" s="7"/>
      <c r="I381" s="10" t="s">
        <v>26</v>
      </c>
    </row>
    <row r="382" spans="1:9" ht="16.2" customHeight="1" x14ac:dyDescent="0.3">
      <c r="A382" s="9"/>
      <c r="B382" s="7" t="s">
        <v>13</v>
      </c>
      <c r="C382" s="5" t="s">
        <v>581</v>
      </c>
      <c r="D382" s="7" t="s">
        <v>307</v>
      </c>
      <c r="E382" s="6" t="str">
        <f t="shared" si="18"/>
        <v>tra</v>
      </c>
      <c r="F382" s="6" t="str">
        <f t="shared" si="19"/>
        <v>road</v>
      </c>
      <c r="G382" s="6" t="str">
        <f t="shared" si="20"/>
        <v>mtruck_ice_frei_diesel_1</v>
      </c>
      <c r="H382" s="7"/>
      <c r="I382" s="10" t="s">
        <v>26</v>
      </c>
    </row>
    <row r="383" spans="1:9" ht="16.2" customHeight="1" x14ac:dyDescent="0.3">
      <c r="A383" s="9"/>
      <c r="B383" s="7" t="s">
        <v>17</v>
      </c>
      <c r="C383" s="5" t="s">
        <v>582</v>
      </c>
      <c r="D383" s="7" t="s">
        <v>319</v>
      </c>
      <c r="E383" s="6" t="str">
        <f t="shared" si="18"/>
        <v>tra</v>
      </c>
      <c r="F383" s="6" t="str">
        <f t="shared" si="19"/>
        <v>road</v>
      </c>
      <c r="G383" s="6" t="str">
        <f t="shared" si="20"/>
        <v>htruck_fcev_frei_hydrogen_1</v>
      </c>
      <c r="H383" s="7"/>
      <c r="I383" s="10" t="s">
        <v>26</v>
      </c>
    </row>
    <row r="384" spans="1:9" ht="16.2" customHeight="1" x14ac:dyDescent="0.3">
      <c r="A384" s="9"/>
      <c r="B384" s="7" t="s">
        <v>196</v>
      </c>
      <c r="C384" s="5" t="s">
        <v>583</v>
      </c>
      <c r="D384" s="7" t="s">
        <v>198</v>
      </c>
      <c r="E384" s="6" t="str">
        <f t="shared" si="18"/>
        <v>tra</v>
      </c>
      <c r="F384" s="6" t="str">
        <f t="shared" si="19"/>
        <v>road</v>
      </c>
      <c r="G384" s="6" t="str">
        <f t="shared" si="20"/>
        <v>htruck_bev_frei_battery_infl_uni_1</v>
      </c>
      <c r="H384" s="7"/>
      <c r="I384" s="16"/>
    </row>
    <row r="385" spans="1:9" ht="16.2" customHeight="1" x14ac:dyDescent="0.3">
      <c r="A385" s="9"/>
      <c r="B385" s="7" t="s">
        <v>196</v>
      </c>
      <c r="C385" s="5" t="s">
        <v>584</v>
      </c>
      <c r="D385" s="7" t="s">
        <v>198</v>
      </c>
      <c r="E385" s="6" t="str">
        <f t="shared" si="18"/>
        <v>tra</v>
      </c>
      <c r="F385" s="6" t="str">
        <f t="shared" si="19"/>
        <v>road</v>
      </c>
      <c r="G385" s="6" t="str">
        <f t="shared" si="20"/>
        <v>htruck_bev_frei_battery_flex_uni_1</v>
      </c>
      <c r="H385" s="7"/>
      <c r="I385" s="16"/>
    </row>
    <row r="386" spans="1:9" ht="16.2" customHeight="1" x14ac:dyDescent="0.3">
      <c r="A386" s="9"/>
      <c r="B386" s="7" t="s">
        <v>196</v>
      </c>
      <c r="C386" s="5" t="s">
        <v>585</v>
      </c>
      <c r="D386" s="7" t="s">
        <v>198</v>
      </c>
      <c r="E386" s="6" t="str">
        <f t="shared" si="18"/>
        <v>tra</v>
      </c>
      <c r="F386" s="6" t="str">
        <f t="shared" si="19"/>
        <v>road</v>
      </c>
      <c r="G386" s="6" t="str">
        <f t="shared" si="20"/>
        <v>htruck_bev_frei_battery_flex_bi_1</v>
      </c>
      <c r="H386" s="7"/>
      <c r="I386" s="16"/>
    </row>
    <row r="387" spans="1:9" ht="16.2" customHeight="1" x14ac:dyDescent="0.3">
      <c r="A387" s="9"/>
      <c r="B387" s="7" t="s">
        <v>15</v>
      </c>
      <c r="C387" s="5" t="s">
        <v>586</v>
      </c>
      <c r="D387" s="7" t="s">
        <v>196</v>
      </c>
      <c r="E387" s="6" t="str">
        <f t="shared" si="18"/>
        <v>tra</v>
      </c>
      <c r="F387" s="6" t="str">
        <f t="shared" si="19"/>
        <v>road</v>
      </c>
      <c r="G387" s="6" t="str">
        <f t="shared" si="20"/>
        <v>htruck_bev_frei_wallbox_infl_uni_g2v_1</v>
      </c>
      <c r="H387" s="7"/>
      <c r="I387" s="16"/>
    </row>
    <row r="388" spans="1:9" ht="16.2" customHeight="1" x14ac:dyDescent="0.3">
      <c r="A388" s="9"/>
      <c r="B388" s="7" t="s">
        <v>15</v>
      </c>
      <c r="C388" s="5" t="s">
        <v>587</v>
      </c>
      <c r="D388" s="7" t="s">
        <v>196</v>
      </c>
      <c r="E388" s="6" t="str">
        <f t="shared" si="18"/>
        <v>tra</v>
      </c>
      <c r="F388" s="6" t="str">
        <f t="shared" si="19"/>
        <v>road</v>
      </c>
      <c r="G388" s="6" t="str">
        <f t="shared" si="20"/>
        <v>htruck_bev_frei_wallbox_flex_uni_g2v_1</v>
      </c>
      <c r="H388" s="7"/>
      <c r="I388" s="16"/>
    </row>
    <row r="389" spans="1:9" ht="16.2" customHeight="1" x14ac:dyDescent="0.3">
      <c r="A389" s="9"/>
      <c r="B389" s="7" t="s">
        <v>15</v>
      </c>
      <c r="C389" s="5" t="s">
        <v>588</v>
      </c>
      <c r="D389" s="7" t="s">
        <v>196</v>
      </c>
      <c r="E389" s="6" t="str">
        <f t="shared" si="18"/>
        <v>tra</v>
      </c>
      <c r="F389" s="6" t="str">
        <f t="shared" si="19"/>
        <v>road</v>
      </c>
      <c r="G389" s="6" t="str">
        <f t="shared" si="20"/>
        <v>htruck_bev_frei_wallbox_flex_bi_g2v_1</v>
      </c>
      <c r="H389" s="7"/>
      <c r="I389" s="16"/>
    </row>
    <row r="390" spans="1:9" ht="16.2" customHeight="1" x14ac:dyDescent="0.3">
      <c r="A390" s="9"/>
      <c r="B390" s="7" t="s">
        <v>198</v>
      </c>
      <c r="C390" s="5" t="s">
        <v>589</v>
      </c>
      <c r="D390" s="7" t="s">
        <v>15</v>
      </c>
      <c r="E390" s="6" t="str">
        <f t="shared" si="18"/>
        <v>tra</v>
      </c>
      <c r="F390" s="6" t="str">
        <f t="shared" si="19"/>
        <v>road</v>
      </c>
      <c r="G390" s="6" t="str">
        <f t="shared" si="20"/>
        <v>htruck_bev_frei_wallbox_flex_bi_v2g_1</v>
      </c>
      <c r="H390" s="7"/>
      <c r="I390" s="16"/>
    </row>
    <row r="391" spans="1:9" ht="16.2" customHeight="1" x14ac:dyDescent="0.3">
      <c r="A391" s="9"/>
      <c r="B391" s="7" t="s">
        <v>198</v>
      </c>
      <c r="C391" s="5" t="s">
        <v>590</v>
      </c>
      <c r="D391" s="7" t="s">
        <v>319</v>
      </c>
      <c r="E391" s="6" t="str">
        <f t="shared" si="18"/>
        <v>tra</v>
      </c>
      <c r="F391" s="6" t="str">
        <f t="shared" si="19"/>
        <v>road</v>
      </c>
      <c r="G391" s="6" t="str">
        <f t="shared" si="20"/>
        <v>htruck_bev_frei_engine_infl_uni_1</v>
      </c>
      <c r="H391" s="7"/>
      <c r="I391" s="16"/>
    </row>
    <row r="392" spans="1:9" ht="16.2" customHeight="1" x14ac:dyDescent="0.3">
      <c r="A392" s="9"/>
      <c r="B392" s="7" t="s">
        <v>198</v>
      </c>
      <c r="C392" s="5" t="s">
        <v>591</v>
      </c>
      <c r="D392" s="7" t="s">
        <v>319</v>
      </c>
      <c r="E392" s="6" t="str">
        <f t="shared" si="18"/>
        <v>tra</v>
      </c>
      <c r="F392" s="6" t="str">
        <f t="shared" si="19"/>
        <v>road</v>
      </c>
      <c r="G392" s="6" t="str">
        <f t="shared" si="20"/>
        <v>htruck_bev_frei_engine_flex_uni_1</v>
      </c>
      <c r="H392" s="7"/>
      <c r="I392" s="16"/>
    </row>
    <row r="393" spans="1:9" ht="16.2" customHeight="1" x14ac:dyDescent="0.3">
      <c r="A393" s="9"/>
      <c r="B393" s="7" t="s">
        <v>198</v>
      </c>
      <c r="C393" s="5" t="s">
        <v>592</v>
      </c>
      <c r="D393" s="7" t="s">
        <v>319</v>
      </c>
      <c r="E393" s="6" t="str">
        <f t="shared" si="18"/>
        <v>tra</v>
      </c>
      <c r="F393" s="6" t="str">
        <f t="shared" si="19"/>
        <v>road</v>
      </c>
      <c r="G393" s="6" t="str">
        <f t="shared" si="20"/>
        <v>htruck_bev_frei_engine_flex_bi_1</v>
      </c>
      <c r="H393" s="7"/>
      <c r="I393" s="16"/>
    </row>
    <row r="394" spans="1:9" ht="16.2" customHeight="1" x14ac:dyDescent="0.3">
      <c r="A394" s="9"/>
      <c r="B394" s="7" t="s">
        <v>15</v>
      </c>
      <c r="C394" s="5" t="s">
        <v>593</v>
      </c>
      <c r="D394" s="7" t="s">
        <v>319</v>
      </c>
      <c r="E394" s="6" t="str">
        <f t="shared" si="18"/>
        <v>tra</v>
      </c>
      <c r="F394" s="6" t="str">
        <f t="shared" si="19"/>
        <v>road</v>
      </c>
      <c r="G394" s="6" t="str">
        <f t="shared" si="20"/>
        <v>htruck_oev_frei_1</v>
      </c>
      <c r="H394" s="7"/>
      <c r="I394" s="10" t="s">
        <v>26</v>
      </c>
    </row>
    <row r="395" spans="1:9" ht="16.2" customHeight="1" x14ac:dyDescent="0.3">
      <c r="A395" s="9"/>
      <c r="B395" s="7" t="s">
        <v>13</v>
      </c>
      <c r="C395" s="5" t="s">
        <v>594</v>
      </c>
      <c r="D395" s="7" t="s">
        <v>332</v>
      </c>
      <c r="E395" s="6" t="str">
        <f t="shared" si="18"/>
        <v>tra</v>
      </c>
      <c r="F395" s="6" t="str">
        <f t="shared" si="19"/>
        <v>road</v>
      </c>
      <c r="G395" s="6" t="str">
        <f t="shared" si="20"/>
        <v>htruck_ice_frei_diesel_1</v>
      </c>
      <c r="H395" s="7"/>
      <c r="I395" s="10" t="s">
        <v>26</v>
      </c>
    </row>
    <row r="396" spans="1:9" ht="16.2" customHeight="1" x14ac:dyDescent="0.3">
      <c r="A396" s="9"/>
      <c r="B396" s="7" t="s">
        <v>36</v>
      </c>
      <c r="C396" s="5" t="s">
        <v>595</v>
      </c>
      <c r="D396" s="7" t="s">
        <v>334</v>
      </c>
      <c r="E396" s="6" t="str">
        <f t="shared" si="18"/>
        <v>tra</v>
      </c>
      <c r="F396" s="6" t="str">
        <f t="shared" si="19"/>
        <v>road</v>
      </c>
      <c r="G396" s="6" t="str">
        <f t="shared" si="20"/>
        <v>htruck_ice_frei_ethanol_1</v>
      </c>
      <c r="H396" s="7"/>
      <c r="I396" s="10" t="s">
        <v>26</v>
      </c>
    </row>
    <row r="397" spans="1:9" ht="16.2" customHeight="1" x14ac:dyDescent="0.3">
      <c r="A397" s="9"/>
      <c r="B397" s="7" t="s">
        <v>17</v>
      </c>
      <c r="C397" s="5" t="s">
        <v>596</v>
      </c>
      <c r="D397" s="7" t="s">
        <v>319</v>
      </c>
      <c r="E397" s="6" t="str">
        <f t="shared" si="18"/>
        <v>tra</v>
      </c>
      <c r="F397" s="6" t="str">
        <f t="shared" si="19"/>
        <v>road</v>
      </c>
      <c r="G397" s="6" t="str">
        <f t="shared" si="20"/>
        <v>htruck_ice_frei_hydrogen_1</v>
      </c>
      <c r="H397" s="7"/>
      <c r="I397" s="10" t="s">
        <v>26</v>
      </c>
    </row>
    <row r="398" spans="1:9" ht="16.2" customHeight="1" x14ac:dyDescent="0.3">
      <c r="A398" s="9"/>
      <c r="B398" s="7" t="s">
        <v>11</v>
      </c>
      <c r="C398" s="5" t="s">
        <v>597</v>
      </c>
      <c r="D398" s="7" t="s">
        <v>332</v>
      </c>
      <c r="E398" s="6" t="str">
        <f t="shared" si="18"/>
        <v>tra</v>
      </c>
      <c r="F398" s="6" t="str">
        <f t="shared" si="19"/>
        <v>road</v>
      </c>
      <c r="G398" s="6" t="str">
        <f t="shared" si="20"/>
        <v>htruck_ice_frei_lng_1</v>
      </c>
      <c r="H398" s="7"/>
      <c r="I398" s="10" t="s">
        <v>26</v>
      </c>
    </row>
    <row r="399" spans="1:9" ht="16.2" customHeight="1" x14ac:dyDescent="0.3">
      <c r="A399" s="9"/>
      <c r="B399" s="7" t="s">
        <v>27</v>
      </c>
      <c r="C399" s="5" t="s">
        <v>598</v>
      </c>
      <c r="D399" s="7" t="s">
        <v>332</v>
      </c>
      <c r="E399" s="6" t="str">
        <f t="shared" si="18"/>
        <v>tra</v>
      </c>
      <c r="F399" s="6" t="str">
        <f t="shared" si="19"/>
        <v>road</v>
      </c>
      <c r="G399" s="6" t="str">
        <f t="shared" si="20"/>
        <v>htruck_ice_frei_cng_1</v>
      </c>
      <c r="H399" s="7"/>
      <c r="I399" s="10" t="s">
        <v>26</v>
      </c>
    </row>
    <row r="400" spans="1:9" ht="16.2" customHeight="1" x14ac:dyDescent="0.3">
      <c r="A400" s="9"/>
      <c r="B400" s="7" t="s">
        <v>39</v>
      </c>
      <c r="C400" s="5" t="s">
        <v>599</v>
      </c>
      <c r="D400" s="7" t="s">
        <v>332</v>
      </c>
      <c r="E400" s="6" t="str">
        <f t="shared" si="18"/>
        <v>tra</v>
      </c>
      <c r="F400" s="6" t="str">
        <f t="shared" si="19"/>
        <v>road</v>
      </c>
      <c r="G400" s="6" t="str">
        <f t="shared" si="20"/>
        <v>htruck_fcev_frei_ammonia_1</v>
      </c>
      <c r="H400" s="7"/>
      <c r="I400" s="10" t="s">
        <v>26</v>
      </c>
    </row>
    <row r="401" spans="1:9" ht="16.2" customHeight="1" x14ac:dyDescent="0.3">
      <c r="A401" s="9"/>
      <c r="B401" s="7" t="s">
        <v>13</v>
      </c>
      <c r="C401" s="12" t="s">
        <v>600</v>
      </c>
      <c r="D401" s="7" t="s">
        <v>340</v>
      </c>
      <c r="E401" s="6" t="str">
        <f t="shared" si="18"/>
        <v>tra</v>
      </c>
      <c r="F401" s="6" t="str">
        <f t="shared" si="19"/>
        <v>road</v>
      </c>
      <c r="G401" s="6" t="str">
        <f t="shared" si="20"/>
        <v>agri_ice_diesel_1</v>
      </c>
      <c r="H401" s="7"/>
      <c r="I401" s="10" t="s">
        <v>26</v>
      </c>
    </row>
    <row r="402" spans="1:9" ht="16.2" customHeight="1" x14ac:dyDescent="0.3">
      <c r="A402" s="9"/>
      <c r="B402" s="7" t="s">
        <v>13</v>
      </c>
      <c r="C402" s="5" t="s">
        <v>601</v>
      </c>
      <c r="D402" s="7" t="s">
        <v>342</v>
      </c>
      <c r="E402" s="6" t="str">
        <f t="shared" si="18"/>
        <v>tra</v>
      </c>
      <c r="F402" s="6" t="str">
        <f t="shared" si="19"/>
        <v>road</v>
      </c>
      <c r="G402" s="6" t="str">
        <f t="shared" si="20"/>
        <v>const_ice_diesel_1</v>
      </c>
      <c r="H402" s="7"/>
      <c r="I402" s="16"/>
    </row>
    <row r="403" spans="1:9" ht="16.2" customHeight="1" x14ac:dyDescent="0.25">
      <c r="A403" s="9"/>
      <c r="B403" s="7" t="s">
        <v>17</v>
      </c>
      <c r="C403" s="12" t="s">
        <v>602</v>
      </c>
      <c r="D403" s="7" t="s">
        <v>344</v>
      </c>
      <c r="E403" s="6" t="str">
        <f t="shared" si="18"/>
        <v>tra</v>
      </c>
      <c r="F403" s="6" t="str">
        <f t="shared" si="19"/>
        <v>air</v>
      </c>
      <c r="G403" s="6" t="str">
        <f t="shared" si="20"/>
        <v>fcev_pass_hydrogen_1_ag</v>
      </c>
      <c r="H403" s="7"/>
      <c r="I403" s="21"/>
    </row>
    <row r="404" spans="1:9" ht="16.2" customHeight="1" x14ac:dyDescent="0.25">
      <c r="A404" s="9"/>
      <c r="B404" s="7" t="s">
        <v>34</v>
      </c>
      <c r="C404" s="12" t="s">
        <v>603</v>
      </c>
      <c r="D404" s="7" t="s">
        <v>346</v>
      </c>
      <c r="E404" s="6" t="str">
        <f t="shared" si="18"/>
        <v>tra</v>
      </c>
      <c r="F404" s="6" t="str">
        <f t="shared" si="19"/>
        <v>air</v>
      </c>
      <c r="G404" s="6" t="str">
        <f t="shared" si="20"/>
        <v>ice_pass_kerosene_1_ag</v>
      </c>
      <c r="H404" s="7"/>
      <c r="I404" s="21"/>
    </row>
    <row r="405" spans="1:9" ht="16.2" customHeight="1" x14ac:dyDescent="0.25">
      <c r="A405" s="9"/>
      <c r="B405" s="7" t="s">
        <v>133</v>
      </c>
      <c r="C405" s="12" t="s">
        <v>604</v>
      </c>
      <c r="D405" s="7" t="s">
        <v>344</v>
      </c>
      <c r="E405" s="6" t="str">
        <f t="shared" si="18"/>
        <v>tra</v>
      </c>
      <c r="F405" s="6" t="str">
        <f t="shared" si="19"/>
        <v>air</v>
      </c>
      <c r="G405" s="6" t="str">
        <f t="shared" si="20"/>
        <v>hyb_pass_kerosene_1_ag</v>
      </c>
      <c r="H405" s="7"/>
      <c r="I405" s="21"/>
    </row>
    <row r="406" spans="1:9" ht="16.2" customHeight="1" x14ac:dyDescent="0.25">
      <c r="A406" s="9"/>
      <c r="B406" s="7" t="s">
        <v>17</v>
      </c>
      <c r="C406" s="12" t="s">
        <v>605</v>
      </c>
      <c r="D406" s="7" t="s">
        <v>344</v>
      </c>
      <c r="E406" s="6" t="str">
        <f t="shared" si="18"/>
        <v>tra</v>
      </c>
      <c r="F406" s="6" t="str">
        <f t="shared" si="19"/>
        <v>air</v>
      </c>
      <c r="G406" s="6" t="str">
        <f t="shared" si="20"/>
        <v>ice_pass_hydrogen_1_ag</v>
      </c>
      <c r="H406" s="7"/>
      <c r="I406" s="21"/>
    </row>
    <row r="407" spans="1:9" ht="16.2" customHeight="1" x14ac:dyDescent="0.25">
      <c r="A407" s="9"/>
      <c r="B407" s="7" t="s">
        <v>13</v>
      </c>
      <c r="C407" s="12" t="s">
        <v>606</v>
      </c>
      <c r="D407" s="7" t="s">
        <v>350</v>
      </c>
      <c r="E407" s="6" t="str">
        <f t="shared" si="18"/>
        <v>tra</v>
      </c>
      <c r="F407" s="6" t="str">
        <f t="shared" si="19"/>
        <v>rail</v>
      </c>
      <c r="G407" s="6" t="str">
        <f t="shared" si="20"/>
        <v>ice_pass_diesel_1_ag</v>
      </c>
      <c r="H407" s="7"/>
      <c r="I407" s="21"/>
    </row>
    <row r="408" spans="1:9" ht="16.2" customHeight="1" x14ac:dyDescent="0.25">
      <c r="A408" s="9"/>
      <c r="B408" s="7" t="s">
        <v>36</v>
      </c>
      <c r="C408" s="12" t="s">
        <v>607</v>
      </c>
      <c r="D408" s="7" t="s">
        <v>352</v>
      </c>
      <c r="E408" s="6" t="str">
        <f t="shared" si="18"/>
        <v>tra</v>
      </c>
      <c r="F408" s="6" t="str">
        <f t="shared" si="19"/>
        <v>rail</v>
      </c>
      <c r="G408" s="6" t="str">
        <f t="shared" si="20"/>
        <v>ice_pass_ethanol_1_ag</v>
      </c>
      <c r="H408" s="7"/>
      <c r="I408" s="21"/>
    </row>
    <row r="409" spans="1:9" ht="16.2" customHeight="1" x14ac:dyDescent="0.25">
      <c r="A409" s="9"/>
      <c r="B409" s="7" t="s">
        <v>17</v>
      </c>
      <c r="C409" s="12" t="s">
        <v>608</v>
      </c>
      <c r="D409" s="7" t="s">
        <v>354</v>
      </c>
      <c r="E409" s="6" t="str">
        <f t="shared" si="18"/>
        <v>tra</v>
      </c>
      <c r="F409" s="6" t="str">
        <f t="shared" si="19"/>
        <v>rail</v>
      </c>
      <c r="G409" s="6" t="str">
        <f t="shared" si="20"/>
        <v>fcev_pass_hydrogen_1_ag</v>
      </c>
      <c r="H409" s="7"/>
      <c r="I409" s="21"/>
    </row>
    <row r="410" spans="1:9" ht="16.2" customHeight="1" x14ac:dyDescent="0.25">
      <c r="A410" s="9"/>
      <c r="B410" s="7" t="s">
        <v>15</v>
      </c>
      <c r="C410" s="12" t="s">
        <v>609</v>
      </c>
      <c r="D410" s="7" t="s">
        <v>354</v>
      </c>
      <c r="E410" s="6" t="str">
        <f t="shared" si="18"/>
        <v>tra</v>
      </c>
      <c r="F410" s="6" t="str">
        <f t="shared" si="19"/>
        <v>rail</v>
      </c>
      <c r="G410" s="6" t="str">
        <f t="shared" si="20"/>
        <v>oev_pass_1_ag</v>
      </c>
      <c r="H410" s="7"/>
      <c r="I410" s="21"/>
    </row>
    <row r="411" spans="1:9" ht="16.2" customHeight="1" x14ac:dyDescent="0.25">
      <c r="A411" s="9"/>
      <c r="B411" s="7" t="s">
        <v>15</v>
      </c>
      <c r="C411" s="12" t="s">
        <v>610</v>
      </c>
      <c r="D411" s="7" t="s">
        <v>354</v>
      </c>
      <c r="E411" s="6" t="str">
        <f t="shared" si="18"/>
        <v>tra</v>
      </c>
      <c r="F411" s="6" t="str">
        <f t="shared" si="19"/>
        <v>rail</v>
      </c>
      <c r="G411" s="6" t="str">
        <f t="shared" si="20"/>
        <v>bemu_pass_1_ag</v>
      </c>
      <c r="H411" s="7"/>
      <c r="I411" s="21"/>
    </row>
    <row r="412" spans="1:9" ht="16.2" customHeight="1" x14ac:dyDescent="0.25">
      <c r="A412" s="9"/>
      <c r="B412" s="7" t="s">
        <v>17</v>
      </c>
      <c r="C412" s="12" t="s">
        <v>611</v>
      </c>
      <c r="D412" s="7" t="s">
        <v>358</v>
      </c>
      <c r="E412" s="6" t="str">
        <f t="shared" si="18"/>
        <v>tra</v>
      </c>
      <c r="F412" s="6" t="str">
        <f t="shared" si="19"/>
        <v>rail</v>
      </c>
      <c r="G412" s="6" t="str">
        <f t="shared" si="20"/>
        <v>fcev_frei_hydrogen_1_ag</v>
      </c>
      <c r="H412" s="7"/>
      <c r="I412" s="21"/>
    </row>
    <row r="413" spans="1:9" ht="16.2" customHeight="1" x14ac:dyDescent="0.25">
      <c r="A413" s="9"/>
      <c r="B413" s="7" t="s">
        <v>39</v>
      </c>
      <c r="C413" s="12" t="s">
        <v>612</v>
      </c>
      <c r="D413" s="7" t="s">
        <v>358</v>
      </c>
      <c r="E413" s="6" t="str">
        <f t="shared" si="18"/>
        <v>tra</v>
      </c>
      <c r="F413" s="6" t="str">
        <f t="shared" si="19"/>
        <v>rail</v>
      </c>
      <c r="G413" s="6" t="str">
        <f t="shared" si="20"/>
        <v>ice_frei_ammonia_1_ag</v>
      </c>
      <c r="H413" s="7"/>
      <c r="I413" s="21"/>
    </row>
    <row r="414" spans="1:9" ht="16.2" customHeight="1" x14ac:dyDescent="0.25">
      <c r="A414" s="9"/>
      <c r="B414" s="7" t="s">
        <v>13</v>
      </c>
      <c r="C414" s="12" t="s">
        <v>613</v>
      </c>
      <c r="D414" s="7" t="s">
        <v>360</v>
      </c>
      <c r="E414" s="6" t="str">
        <f t="shared" si="18"/>
        <v>tra</v>
      </c>
      <c r="F414" s="6" t="str">
        <f t="shared" si="19"/>
        <v>rail</v>
      </c>
      <c r="G414" s="6" t="str">
        <f t="shared" si="20"/>
        <v>ice_frei_diesel_1_ag</v>
      </c>
      <c r="H414" s="7"/>
      <c r="I414" s="21"/>
    </row>
    <row r="415" spans="1:9" ht="16.2" customHeight="1" x14ac:dyDescent="0.25">
      <c r="A415" s="9"/>
      <c r="B415" s="7" t="s">
        <v>36</v>
      </c>
      <c r="C415" s="12" t="s">
        <v>614</v>
      </c>
      <c r="D415" s="7" t="s">
        <v>363</v>
      </c>
      <c r="E415" s="6" t="str">
        <f t="shared" si="18"/>
        <v>tra</v>
      </c>
      <c r="F415" s="6" t="str">
        <f t="shared" si="19"/>
        <v>rail</v>
      </c>
      <c r="G415" s="6" t="str">
        <f t="shared" si="20"/>
        <v>ice_frei_ethanol_1_ag</v>
      </c>
      <c r="H415" s="7"/>
      <c r="I415" s="21"/>
    </row>
    <row r="416" spans="1:9" ht="16.2" customHeight="1" x14ac:dyDescent="0.25">
      <c r="A416" s="9"/>
      <c r="B416" s="7" t="s">
        <v>17</v>
      </c>
      <c r="C416" s="12" t="s">
        <v>615</v>
      </c>
      <c r="D416" s="7" t="s">
        <v>365</v>
      </c>
      <c r="E416" s="6" t="str">
        <f t="shared" si="18"/>
        <v>tra</v>
      </c>
      <c r="F416" s="6" t="str">
        <f t="shared" si="19"/>
        <v>road</v>
      </c>
      <c r="G416" s="6" t="str">
        <f t="shared" si="20"/>
        <v>bus_fcev_pass_hydrogen_1_ag</v>
      </c>
      <c r="H416" s="7"/>
      <c r="I416" s="21"/>
    </row>
    <row r="417" spans="1:9" ht="16.2" customHeight="1" x14ac:dyDescent="0.25">
      <c r="A417" s="9"/>
      <c r="B417" s="7" t="s">
        <v>15</v>
      </c>
      <c r="C417" s="12" t="s">
        <v>616</v>
      </c>
      <c r="D417" s="7" t="s">
        <v>365</v>
      </c>
      <c r="E417" s="6" t="str">
        <f t="shared" si="18"/>
        <v>tra</v>
      </c>
      <c r="F417" s="6" t="str">
        <f t="shared" si="19"/>
        <v>road</v>
      </c>
      <c r="G417" s="6" t="str">
        <f t="shared" si="20"/>
        <v>bus_bev_pass_1_ag</v>
      </c>
      <c r="H417" s="7"/>
      <c r="I417" s="21"/>
    </row>
    <row r="418" spans="1:9" ht="16.2" customHeight="1" x14ac:dyDescent="0.25">
      <c r="A418" s="9"/>
      <c r="B418" s="7" t="s">
        <v>13</v>
      </c>
      <c r="C418" s="12" t="s">
        <v>617</v>
      </c>
      <c r="D418" s="7" t="s">
        <v>368</v>
      </c>
      <c r="E418" s="6" t="str">
        <f t="shared" si="18"/>
        <v>tra</v>
      </c>
      <c r="F418" s="6" t="str">
        <f t="shared" si="19"/>
        <v>road</v>
      </c>
      <c r="G418" s="6" t="str">
        <f t="shared" si="20"/>
        <v>bus_ice_pass_diesel_1_ag</v>
      </c>
      <c r="H418" s="7"/>
      <c r="I418" s="21"/>
    </row>
    <row r="419" spans="1:9" ht="16.2" customHeight="1" x14ac:dyDescent="0.25">
      <c r="A419" s="9"/>
      <c r="B419" s="7" t="s">
        <v>17</v>
      </c>
      <c r="C419" s="12" t="s">
        <v>618</v>
      </c>
      <c r="D419" s="7" t="s">
        <v>370</v>
      </c>
      <c r="E419" s="6" t="str">
        <f t="shared" si="18"/>
        <v>tra</v>
      </c>
      <c r="F419" s="6" t="str">
        <f t="shared" si="19"/>
        <v>road</v>
      </c>
      <c r="G419" s="6" t="str">
        <f t="shared" si="20"/>
        <v>car_fcev_pass_hydrogen_1_ag</v>
      </c>
      <c r="H419" s="7"/>
      <c r="I419" s="21"/>
    </row>
    <row r="420" spans="1:9" ht="16.2" customHeight="1" x14ac:dyDescent="0.25">
      <c r="A420" s="9"/>
      <c r="B420" s="7" t="s">
        <v>196</v>
      </c>
      <c r="C420" s="12" t="s">
        <v>619</v>
      </c>
      <c r="D420" s="7" t="s">
        <v>198</v>
      </c>
      <c r="E420" s="6" t="str">
        <f t="shared" si="18"/>
        <v>tra</v>
      </c>
      <c r="F420" s="6" t="str">
        <f t="shared" si="19"/>
        <v>road</v>
      </c>
      <c r="G420" s="6" t="str">
        <f t="shared" si="20"/>
        <v>car_bev_pass_battery_infl_uni_1_ag</v>
      </c>
      <c r="H420" s="7"/>
      <c r="I420" s="21"/>
    </row>
    <row r="421" spans="1:9" ht="16.2" customHeight="1" x14ac:dyDescent="0.25">
      <c r="A421" s="9"/>
      <c r="B421" s="7" t="s">
        <v>196</v>
      </c>
      <c r="C421" s="12" t="s">
        <v>620</v>
      </c>
      <c r="D421" s="7" t="s">
        <v>198</v>
      </c>
      <c r="E421" s="6" t="str">
        <f t="shared" si="18"/>
        <v>tra</v>
      </c>
      <c r="F421" s="6" t="str">
        <f t="shared" si="19"/>
        <v>road</v>
      </c>
      <c r="G421" s="6" t="str">
        <f t="shared" si="20"/>
        <v>car_bev_pass_battery_flex_uni_1_ag</v>
      </c>
      <c r="H421" s="7"/>
      <c r="I421" s="21"/>
    </row>
    <row r="422" spans="1:9" ht="16.2" customHeight="1" x14ac:dyDescent="0.25">
      <c r="A422" s="9"/>
      <c r="B422" s="7" t="s">
        <v>196</v>
      </c>
      <c r="C422" s="12" t="s">
        <v>621</v>
      </c>
      <c r="D422" s="7" t="s">
        <v>198</v>
      </c>
      <c r="E422" s="6" t="str">
        <f t="shared" si="18"/>
        <v>tra</v>
      </c>
      <c r="F422" s="6" t="str">
        <f t="shared" si="19"/>
        <v>road</v>
      </c>
      <c r="G422" s="6" t="str">
        <f t="shared" si="20"/>
        <v>car_bev_pass_battery_flex_bi_1_ag</v>
      </c>
      <c r="H422" s="7"/>
      <c r="I422" s="21"/>
    </row>
    <row r="423" spans="1:9" ht="16.2" customHeight="1" x14ac:dyDescent="0.25">
      <c r="A423" s="9"/>
      <c r="B423" s="7" t="s">
        <v>15</v>
      </c>
      <c r="C423" s="12" t="s">
        <v>622</v>
      </c>
      <c r="D423" s="7" t="s">
        <v>196</v>
      </c>
      <c r="E423" s="6" t="str">
        <f t="shared" si="18"/>
        <v>tra</v>
      </c>
      <c r="F423" s="6" t="str">
        <f t="shared" si="19"/>
        <v>road</v>
      </c>
      <c r="G423" s="6" t="str">
        <f t="shared" si="20"/>
        <v>car_bev_pass_wallbox_infl_uni_g2v_1_ag</v>
      </c>
      <c r="H423" s="7"/>
      <c r="I423" s="21"/>
    </row>
    <row r="424" spans="1:9" ht="16.2" customHeight="1" x14ac:dyDescent="0.25">
      <c r="A424" s="9"/>
      <c r="B424" s="7" t="s">
        <v>15</v>
      </c>
      <c r="C424" s="12" t="s">
        <v>623</v>
      </c>
      <c r="D424" s="7" t="s">
        <v>196</v>
      </c>
      <c r="E424" s="6" t="str">
        <f t="shared" si="18"/>
        <v>tra</v>
      </c>
      <c r="F424" s="6" t="str">
        <f t="shared" si="19"/>
        <v>road</v>
      </c>
      <c r="G424" s="6" t="str">
        <f t="shared" si="20"/>
        <v>car_bev_pass_wallbox_flex_uni_g2v_1_ag</v>
      </c>
      <c r="H424" s="7"/>
      <c r="I424" s="21"/>
    </row>
    <row r="425" spans="1:9" ht="16.2" customHeight="1" x14ac:dyDescent="0.25">
      <c r="A425" s="9"/>
      <c r="B425" s="7" t="s">
        <v>15</v>
      </c>
      <c r="C425" s="12" t="s">
        <v>624</v>
      </c>
      <c r="D425" s="7" t="s">
        <v>196</v>
      </c>
      <c r="E425" s="6" t="str">
        <f t="shared" si="18"/>
        <v>tra</v>
      </c>
      <c r="F425" s="6" t="str">
        <f t="shared" si="19"/>
        <v>road</v>
      </c>
      <c r="G425" s="6" t="str">
        <f t="shared" si="20"/>
        <v>car_bev_pass_wallbox_flex_bi_g2v_1_ag</v>
      </c>
      <c r="H425" s="7"/>
      <c r="I425" s="21"/>
    </row>
    <row r="426" spans="1:9" ht="16.2" customHeight="1" x14ac:dyDescent="0.25">
      <c r="A426" s="9"/>
      <c r="B426" s="7" t="s">
        <v>198</v>
      </c>
      <c r="C426" s="12" t="s">
        <v>625</v>
      </c>
      <c r="D426" s="7" t="s">
        <v>15</v>
      </c>
      <c r="E426" s="6" t="str">
        <f t="shared" si="18"/>
        <v>tra</v>
      </c>
      <c r="F426" s="6" t="str">
        <f t="shared" si="19"/>
        <v>road</v>
      </c>
      <c r="G426" s="6" t="str">
        <f t="shared" si="20"/>
        <v>car_bev_pass_wallbox_flex_bi_v2g_1_ag</v>
      </c>
      <c r="H426" s="7"/>
      <c r="I426" s="21"/>
    </row>
    <row r="427" spans="1:9" ht="16.2" customHeight="1" x14ac:dyDescent="0.25">
      <c r="A427" s="9"/>
      <c r="B427" s="7" t="s">
        <v>198</v>
      </c>
      <c r="C427" s="12" t="s">
        <v>626</v>
      </c>
      <c r="D427" s="7" t="s">
        <v>370</v>
      </c>
      <c r="E427" s="6" t="str">
        <f t="shared" si="18"/>
        <v>tra</v>
      </c>
      <c r="F427" s="6" t="str">
        <f t="shared" si="19"/>
        <v>road</v>
      </c>
      <c r="G427" s="6" t="str">
        <f t="shared" si="20"/>
        <v>car_bev_pass_engine_infl_uni_1_ag</v>
      </c>
      <c r="H427" s="7"/>
      <c r="I427" s="21"/>
    </row>
    <row r="428" spans="1:9" ht="16.2" customHeight="1" x14ac:dyDescent="0.25">
      <c r="A428" s="9"/>
      <c r="B428" s="7" t="s">
        <v>198</v>
      </c>
      <c r="C428" s="12" t="s">
        <v>627</v>
      </c>
      <c r="D428" s="7" t="s">
        <v>370</v>
      </c>
      <c r="E428" s="6" t="str">
        <f t="shared" si="18"/>
        <v>tra</v>
      </c>
      <c r="F428" s="6" t="str">
        <f t="shared" si="19"/>
        <v>road</v>
      </c>
      <c r="G428" s="6" t="str">
        <f t="shared" si="20"/>
        <v>car_bev_pass_engine_flex_uni_1_ag</v>
      </c>
      <c r="H428" s="7"/>
      <c r="I428" s="21"/>
    </row>
    <row r="429" spans="1:9" ht="16.2" customHeight="1" x14ac:dyDescent="0.25">
      <c r="A429" s="9"/>
      <c r="B429" s="7" t="s">
        <v>198</v>
      </c>
      <c r="C429" s="12" t="s">
        <v>628</v>
      </c>
      <c r="D429" s="7" t="s">
        <v>370</v>
      </c>
      <c r="E429" s="6" t="str">
        <f t="shared" si="18"/>
        <v>tra</v>
      </c>
      <c r="F429" s="6" t="str">
        <f t="shared" si="19"/>
        <v>road</v>
      </c>
      <c r="G429" s="6" t="str">
        <f t="shared" si="20"/>
        <v>car_bev_pass_engine_flex_bi_1_ag</v>
      </c>
      <c r="H429" s="7"/>
      <c r="I429" s="21"/>
    </row>
    <row r="430" spans="1:9" ht="16.2" customHeight="1" x14ac:dyDescent="0.25">
      <c r="A430" s="9"/>
      <c r="B430" s="7" t="s">
        <v>30</v>
      </c>
      <c r="C430" s="12" t="s">
        <v>629</v>
      </c>
      <c r="D430" s="7" t="s">
        <v>382</v>
      </c>
      <c r="E430" s="6" t="str">
        <f t="shared" si="18"/>
        <v>tra</v>
      </c>
      <c r="F430" s="6" t="str">
        <f t="shared" si="19"/>
        <v>road</v>
      </c>
      <c r="G430" s="6" t="str">
        <f t="shared" si="20"/>
        <v>car_hyb_pass_gasoline_1_ag</v>
      </c>
      <c r="H430" s="7"/>
      <c r="I430" s="21"/>
    </row>
    <row r="431" spans="1:9" ht="16.2" customHeight="1" x14ac:dyDescent="0.25">
      <c r="A431" s="9"/>
      <c r="B431" s="7" t="s">
        <v>13</v>
      </c>
      <c r="C431" s="12" t="s">
        <v>630</v>
      </c>
      <c r="D431" s="7" t="s">
        <v>382</v>
      </c>
      <c r="E431" s="6" t="str">
        <f t="shared" si="18"/>
        <v>tra</v>
      </c>
      <c r="F431" s="6" t="str">
        <f t="shared" si="19"/>
        <v>road</v>
      </c>
      <c r="G431" s="6" t="str">
        <f t="shared" si="20"/>
        <v>car_hyb_pass_diesel_1_ag</v>
      </c>
      <c r="H431" s="7"/>
      <c r="I431" s="21"/>
    </row>
    <row r="432" spans="1:9" ht="16.2" customHeight="1" x14ac:dyDescent="0.25">
      <c r="A432" s="9"/>
      <c r="B432" s="7" t="s">
        <v>17</v>
      </c>
      <c r="C432" s="12" t="s">
        <v>631</v>
      </c>
      <c r="D432" s="7" t="s">
        <v>370</v>
      </c>
      <c r="E432" s="6" t="str">
        <f t="shared" ref="E432:E469" si="21">_xlfn.TEXTBEFORE($C432,"_")</f>
        <v>tra</v>
      </c>
      <c r="F432" s="6" t="str">
        <f t="shared" ref="F432:F469" si="22">_xlfn.TEXTBEFORE(_xlfn.TEXTAFTER($C432,_xlfn.CONCAT(E432,"_")),"_")</f>
        <v>road</v>
      </c>
      <c r="G432" s="6" t="str">
        <f t="shared" ref="G432:G469" si="23">_xlfn.TEXTAFTER($C432,_xlfn.CONCAT(F432,"_"))</f>
        <v>car_ice_pass_hydrogen_1_ag</v>
      </c>
      <c r="H432" s="7"/>
      <c r="I432" s="21"/>
    </row>
    <row r="433" spans="1:9" ht="16.2" customHeight="1" x14ac:dyDescent="0.25">
      <c r="A433" s="9"/>
      <c r="B433" s="7" t="s">
        <v>35</v>
      </c>
      <c r="C433" s="12" t="s">
        <v>632</v>
      </c>
      <c r="D433" s="7" t="s">
        <v>386</v>
      </c>
      <c r="E433" s="6" t="str">
        <f t="shared" si="21"/>
        <v>tra</v>
      </c>
      <c r="F433" s="6" t="str">
        <f t="shared" si="22"/>
        <v>road</v>
      </c>
      <c r="G433" s="6" t="str">
        <f t="shared" si="23"/>
        <v>car_ice_pass_methanol_1_ag</v>
      </c>
      <c r="H433" s="7"/>
      <c r="I433" s="21"/>
    </row>
    <row r="434" spans="1:9" ht="16.2" customHeight="1" x14ac:dyDescent="0.25">
      <c r="A434" s="9"/>
      <c r="B434" s="7" t="s">
        <v>27</v>
      </c>
      <c r="C434" s="12" t="s">
        <v>633</v>
      </c>
      <c r="D434" s="7" t="s">
        <v>382</v>
      </c>
      <c r="E434" s="6" t="str">
        <f t="shared" si="21"/>
        <v>tra</v>
      </c>
      <c r="F434" s="6" t="str">
        <f t="shared" si="22"/>
        <v>road</v>
      </c>
      <c r="G434" s="6" t="str">
        <f t="shared" si="23"/>
        <v>car_ice_pass_cng_1_ag</v>
      </c>
      <c r="H434" s="7"/>
      <c r="I434" s="21"/>
    </row>
    <row r="435" spans="1:9" ht="16.2" customHeight="1" x14ac:dyDescent="0.25">
      <c r="A435" s="9"/>
      <c r="B435" s="7" t="s">
        <v>38</v>
      </c>
      <c r="C435" s="12" t="s">
        <v>634</v>
      </c>
      <c r="D435" s="7" t="s">
        <v>382</v>
      </c>
      <c r="E435" s="6" t="str">
        <f t="shared" si="21"/>
        <v>tra</v>
      </c>
      <c r="F435" s="6" t="str">
        <f t="shared" si="22"/>
        <v>road</v>
      </c>
      <c r="G435" s="6" t="str">
        <f t="shared" si="23"/>
        <v>car_ice_pass_lpg_1_ag</v>
      </c>
      <c r="H435" s="7"/>
      <c r="I435" s="21"/>
    </row>
    <row r="436" spans="1:9" ht="16.2" customHeight="1" x14ac:dyDescent="0.25">
      <c r="A436" s="9"/>
      <c r="B436" s="7" t="s">
        <v>30</v>
      </c>
      <c r="C436" s="12" t="s">
        <v>635</v>
      </c>
      <c r="D436" s="7" t="s">
        <v>382</v>
      </c>
      <c r="E436" s="6" t="str">
        <f t="shared" si="21"/>
        <v>tra</v>
      </c>
      <c r="F436" s="6" t="str">
        <f t="shared" si="22"/>
        <v>road</v>
      </c>
      <c r="G436" s="6" t="str">
        <f t="shared" si="23"/>
        <v>car_ice_pass_gasoline_1_ag</v>
      </c>
      <c r="H436" s="7"/>
      <c r="I436" s="21"/>
    </row>
    <row r="437" spans="1:9" ht="16.2" customHeight="1" x14ac:dyDescent="0.25">
      <c r="A437" s="9"/>
      <c r="B437" s="7" t="s">
        <v>13</v>
      </c>
      <c r="C437" s="12" t="s">
        <v>636</v>
      </c>
      <c r="D437" s="7" t="s">
        <v>382</v>
      </c>
      <c r="E437" s="6" t="str">
        <f t="shared" si="21"/>
        <v>tra</v>
      </c>
      <c r="F437" s="6" t="str">
        <f t="shared" si="22"/>
        <v>road</v>
      </c>
      <c r="G437" s="6" t="str">
        <f t="shared" si="23"/>
        <v>car_ice_pass_diesel_1_ag</v>
      </c>
      <c r="H437" s="7"/>
      <c r="I437" s="21"/>
    </row>
    <row r="438" spans="1:9" ht="16.2" customHeight="1" x14ac:dyDescent="0.25">
      <c r="A438" s="9"/>
      <c r="B438" s="7" t="s">
        <v>219</v>
      </c>
      <c r="C438" s="12" t="s">
        <v>637</v>
      </c>
      <c r="D438" s="7" t="s">
        <v>382</v>
      </c>
      <c r="E438" s="6" t="str">
        <f t="shared" si="21"/>
        <v>tra</v>
      </c>
      <c r="F438" s="6" t="str">
        <f t="shared" si="22"/>
        <v>road</v>
      </c>
      <c r="G438" s="6" t="str">
        <f t="shared" si="23"/>
        <v>car_ice_pass_flex_1_ag</v>
      </c>
      <c r="H438" s="7"/>
      <c r="I438" s="21"/>
    </row>
    <row r="439" spans="1:9" ht="16.2" customHeight="1" x14ac:dyDescent="0.25">
      <c r="A439" s="9"/>
      <c r="B439" s="7" t="s">
        <v>196</v>
      </c>
      <c r="C439" s="12" t="s">
        <v>638</v>
      </c>
      <c r="D439" s="7" t="s">
        <v>198</v>
      </c>
      <c r="E439" s="6" t="str">
        <f t="shared" si="21"/>
        <v>tra</v>
      </c>
      <c r="F439" s="6" t="str">
        <f t="shared" si="22"/>
        <v>road</v>
      </c>
      <c r="G439" s="6" t="str">
        <f t="shared" si="23"/>
        <v>truck_bev_frei_battery_infl_uni_1_ag</v>
      </c>
      <c r="H439" s="7"/>
      <c r="I439" s="21"/>
    </row>
    <row r="440" spans="1:9" ht="16.2" customHeight="1" x14ac:dyDescent="0.25">
      <c r="A440" s="9"/>
      <c r="B440" s="7" t="s">
        <v>196</v>
      </c>
      <c r="C440" s="12" t="s">
        <v>639</v>
      </c>
      <c r="D440" s="7" t="s">
        <v>198</v>
      </c>
      <c r="E440" s="6" t="str">
        <f t="shared" si="21"/>
        <v>tra</v>
      </c>
      <c r="F440" s="6" t="str">
        <f t="shared" si="22"/>
        <v>road</v>
      </c>
      <c r="G440" s="6" t="str">
        <f t="shared" si="23"/>
        <v>truck_bev_frei_battery_flex_uni_1_ag</v>
      </c>
      <c r="H440" s="7"/>
      <c r="I440" s="21"/>
    </row>
    <row r="441" spans="1:9" ht="16.2" customHeight="1" x14ac:dyDescent="0.25">
      <c r="A441" s="9"/>
      <c r="B441" s="7" t="s">
        <v>196</v>
      </c>
      <c r="C441" s="12" t="s">
        <v>640</v>
      </c>
      <c r="D441" s="7" t="s">
        <v>198</v>
      </c>
      <c r="E441" s="6" t="str">
        <f t="shared" si="21"/>
        <v>tra</v>
      </c>
      <c r="F441" s="6" t="str">
        <f t="shared" si="22"/>
        <v>road</v>
      </c>
      <c r="G441" s="6" t="str">
        <f t="shared" si="23"/>
        <v>truck_bev_frei_battery_flex_bi_1_ag</v>
      </c>
      <c r="H441" s="7"/>
      <c r="I441" s="21"/>
    </row>
    <row r="442" spans="1:9" ht="16.2" customHeight="1" x14ac:dyDescent="0.25">
      <c r="A442" s="9"/>
      <c r="B442" s="7" t="s">
        <v>15</v>
      </c>
      <c r="C442" s="12" t="s">
        <v>641</v>
      </c>
      <c r="D442" s="7" t="s">
        <v>196</v>
      </c>
      <c r="E442" s="6" t="str">
        <f t="shared" si="21"/>
        <v>tra</v>
      </c>
      <c r="F442" s="6" t="str">
        <f t="shared" si="22"/>
        <v>road</v>
      </c>
      <c r="G442" s="6" t="str">
        <f t="shared" si="23"/>
        <v>truck_bev_frei_wallbox_infl_uni_g2v_1_ag</v>
      </c>
      <c r="H442" s="7"/>
      <c r="I442" s="21"/>
    </row>
    <row r="443" spans="1:9" ht="16.2" customHeight="1" x14ac:dyDescent="0.25">
      <c r="A443" s="9"/>
      <c r="B443" s="7" t="s">
        <v>15</v>
      </c>
      <c r="C443" s="12" t="s">
        <v>642</v>
      </c>
      <c r="D443" s="7" t="s">
        <v>196</v>
      </c>
      <c r="E443" s="6" t="str">
        <f t="shared" si="21"/>
        <v>tra</v>
      </c>
      <c r="F443" s="6" t="str">
        <f t="shared" si="22"/>
        <v>road</v>
      </c>
      <c r="G443" s="6" t="str">
        <f t="shared" si="23"/>
        <v>truck_bev_frei_wallbox_flex_uni_g2v_1_ag</v>
      </c>
      <c r="H443" s="7"/>
      <c r="I443" s="21"/>
    </row>
    <row r="444" spans="1:9" ht="16.2" customHeight="1" x14ac:dyDescent="0.25">
      <c r="A444" s="9"/>
      <c r="B444" s="7" t="s">
        <v>15</v>
      </c>
      <c r="C444" s="12" t="s">
        <v>643</v>
      </c>
      <c r="D444" s="7" t="s">
        <v>196</v>
      </c>
      <c r="E444" s="6" t="str">
        <f t="shared" si="21"/>
        <v>tra</v>
      </c>
      <c r="F444" s="6" t="str">
        <f t="shared" si="22"/>
        <v>road</v>
      </c>
      <c r="G444" s="6" t="str">
        <f t="shared" si="23"/>
        <v>truck_bev_frei_wallbox_flex_bi_g2v_1_ag</v>
      </c>
      <c r="H444" s="7"/>
      <c r="I444" s="21"/>
    </row>
    <row r="445" spans="1:9" ht="16.2" customHeight="1" x14ac:dyDescent="0.25">
      <c r="A445" s="9"/>
      <c r="B445" s="7" t="s">
        <v>198</v>
      </c>
      <c r="C445" s="12" t="s">
        <v>644</v>
      </c>
      <c r="D445" s="7" t="s">
        <v>15</v>
      </c>
      <c r="E445" s="6" t="str">
        <f t="shared" si="21"/>
        <v>tra</v>
      </c>
      <c r="F445" s="6" t="str">
        <f t="shared" si="22"/>
        <v>road</v>
      </c>
      <c r="G445" s="6" t="str">
        <f t="shared" si="23"/>
        <v>truck_bev_frei_wallbox_flex_bi_v2g_1_ag</v>
      </c>
      <c r="H445" s="7"/>
      <c r="I445" s="21"/>
    </row>
    <row r="446" spans="1:9" ht="16.2" customHeight="1" x14ac:dyDescent="0.25">
      <c r="A446" s="9"/>
      <c r="B446" s="7" t="s">
        <v>198</v>
      </c>
      <c r="C446" s="12" t="s">
        <v>645</v>
      </c>
      <c r="D446" s="7" t="s">
        <v>400</v>
      </c>
      <c r="E446" s="6" t="str">
        <f t="shared" si="21"/>
        <v>tra</v>
      </c>
      <c r="F446" s="6" t="str">
        <f t="shared" si="22"/>
        <v>road</v>
      </c>
      <c r="G446" s="6" t="str">
        <f t="shared" si="23"/>
        <v>truck_bev_frei_engine_infl_uni_1_ag</v>
      </c>
      <c r="H446" s="7"/>
      <c r="I446" s="21"/>
    </row>
    <row r="447" spans="1:9" ht="16.2" customHeight="1" x14ac:dyDescent="0.25">
      <c r="A447" s="9"/>
      <c r="B447" s="7" t="s">
        <v>198</v>
      </c>
      <c r="C447" s="12" t="s">
        <v>646</v>
      </c>
      <c r="D447" s="7" t="s">
        <v>400</v>
      </c>
      <c r="E447" s="6" t="str">
        <f t="shared" si="21"/>
        <v>tra</v>
      </c>
      <c r="F447" s="6" t="str">
        <f t="shared" si="22"/>
        <v>road</v>
      </c>
      <c r="G447" s="6" t="str">
        <f t="shared" si="23"/>
        <v>truck_bev_frei_engine_flex_uni_1_ag</v>
      </c>
      <c r="H447" s="7"/>
      <c r="I447" s="21"/>
    </row>
    <row r="448" spans="1:9" ht="16.2" customHeight="1" x14ac:dyDescent="0.25">
      <c r="A448" s="9"/>
      <c r="B448" s="7" t="s">
        <v>198</v>
      </c>
      <c r="C448" s="12" t="s">
        <v>647</v>
      </c>
      <c r="D448" s="7" t="s">
        <v>400</v>
      </c>
      <c r="E448" s="6" t="str">
        <f t="shared" si="21"/>
        <v>tra</v>
      </c>
      <c r="F448" s="6" t="str">
        <f t="shared" si="22"/>
        <v>road</v>
      </c>
      <c r="G448" s="6" t="str">
        <f t="shared" si="23"/>
        <v>truck_bev_frei_engine_flex_bi_1_ag</v>
      </c>
      <c r="H448" s="7"/>
      <c r="I448" s="21"/>
    </row>
    <row r="449" spans="1:9" ht="16.2" customHeight="1" x14ac:dyDescent="0.25">
      <c r="A449" s="9"/>
      <c r="B449" s="7" t="s">
        <v>17</v>
      </c>
      <c r="C449" s="12" t="s">
        <v>648</v>
      </c>
      <c r="D449" s="7" t="s">
        <v>400</v>
      </c>
      <c r="E449" s="6" t="str">
        <f t="shared" si="21"/>
        <v>tra</v>
      </c>
      <c r="F449" s="6" t="str">
        <f t="shared" si="22"/>
        <v>road</v>
      </c>
      <c r="G449" s="6" t="str">
        <f t="shared" si="23"/>
        <v>truck_fcev_frei_hydrogen_1_ag</v>
      </c>
      <c r="H449" s="7"/>
      <c r="I449" s="21"/>
    </row>
    <row r="450" spans="1:9" ht="16.2" customHeight="1" x14ac:dyDescent="0.25">
      <c r="A450" s="9"/>
      <c r="B450" s="7" t="s">
        <v>404</v>
      </c>
      <c r="C450" s="5" t="s">
        <v>649</v>
      </c>
      <c r="D450" s="7" t="s">
        <v>406</v>
      </c>
      <c r="E450" s="6" t="str">
        <f t="shared" si="21"/>
        <v>tra</v>
      </c>
      <c r="F450" s="6" t="str">
        <f t="shared" si="22"/>
        <v>road</v>
      </c>
      <c r="G450" s="6" t="str">
        <f t="shared" si="23"/>
        <v>truck_hyb_frei_diesel_1_ag</v>
      </c>
      <c r="H450" s="7"/>
      <c r="I450" s="21"/>
    </row>
    <row r="451" spans="1:9" ht="16.2" customHeight="1" x14ac:dyDescent="0.25">
      <c r="A451" s="9"/>
      <c r="B451" s="7" t="s">
        <v>407</v>
      </c>
      <c r="C451" s="5" t="s">
        <v>650</v>
      </c>
      <c r="D451" s="7" t="s">
        <v>406</v>
      </c>
      <c r="E451" s="6" t="str">
        <f t="shared" si="21"/>
        <v>tra</v>
      </c>
      <c r="F451" s="6" t="str">
        <f t="shared" si="22"/>
        <v>road</v>
      </c>
      <c r="G451" s="6" t="str">
        <f t="shared" si="23"/>
        <v>truck_hyb_frei_gasoline_1_ag</v>
      </c>
      <c r="H451" s="7"/>
      <c r="I451" s="21"/>
    </row>
    <row r="452" spans="1:9" ht="16.2" customHeight="1" x14ac:dyDescent="0.25">
      <c r="A452" s="9"/>
      <c r="B452" s="7" t="s">
        <v>11</v>
      </c>
      <c r="C452" s="12" t="s">
        <v>651</v>
      </c>
      <c r="D452" s="7" t="s">
        <v>406</v>
      </c>
      <c r="E452" s="6" t="str">
        <f t="shared" si="21"/>
        <v>tra</v>
      </c>
      <c r="F452" s="6" t="str">
        <f t="shared" si="22"/>
        <v>road</v>
      </c>
      <c r="G452" s="6" t="str">
        <f t="shared" si="23"/>
        <v>truck_ice_frei_lng_1_ag</v>
      </c>
      <c r="H452" s="7"/>
      <c r="I452" s="21"/>
    </row>
    <row r="453" spans="1:9" ht="16.2" customHeight="1" x14ac:dyDescent="0.25">
      <c r="A453" s="9"/>
      <c r="B453" s="7" t="s">
        <v>38</v>
      </c>
      <c r="C453" s="12" t="s">
        <v>652</v>
      </c>
      <c r="D453" s="7" t="s">
        <v>406</v>
      </c>
      <c r="E453" s="6" t="str">
        <f t="shared" si="21"/>
        <v>tra</v>
      </c>
      <c r="F453" s="6" t="str">
        <f t="shared" si="22"/>
        <v>road</v>
      </c>
      <c r="G453" s="6" t="str">
        <f t="shared" si="23"/>
        <v>truck_ice_frei_lpg_1_ag</v>
      </c>
      <c r="H453" s="7"/>
      <c r="I453" s="21"/>
    </row>
    <row r="454" spans="1:9" ht="16.2" customHeight="1" x14ac:dyDescent="0.25">
      <c r="A454" s="9"/>
      <c r="B454" s="7" t="s">
        <v>35</v>
      </c>
      <c r="C454" s="12" t="s">
        <v>653</v>
      </c>
      <c r="D454" s="7" t="s">
        <v>412</v>
      </c>
      <c r="E454" s="6" t="str">
        <f t="shared" si="21"/>
        <v>tra</v>
      </c>
      <c r="F454" s="6" t="str">
        <f t="shared" si="22"/>
        <v>road</v>
      </c>
      <c r="G454" s="6" t="str">
        <f t="shared" si="23"/>
        <v>truck_ice_frei_methanol_1_ag</v>
      </c>
      <c r="H454" s="7"/>
      <c r="I454" s="21"/>
    </row>
    <row r="455" spans="1:9" ht="16.2" customHeight="1" x14ac:dyDescent="0.25">
      <c r="A455" s="9"/>
      <c r="B455" s="7" t="s">
        <v>27</v>
      </c>
      <c r="C455" s="12" t="s">
        <v>654</v>
      </c>
      <c r="D455" s="7" t="s">
        <v>406</v>
      </c>
      <c r="E455" s="6" t="str">
        <f t="shared" si="21"/>
        <v>tra</v>
      </c>
      <c r="F455" s="6" t="str">
        <f t="shared" si="22"/>
        <v>road</v>
      </c>
      <c r="G455" s="6" t="str">
        <f t="shared" si="23"/>
        <v>truck_ice_frei_cng_1_ag</v>
      </c>
      <c r="H455" s="7"/>
      <c r="I455" s="21"/>
    </row>
    <row r="456" spans="1:9" ht="16.2" customHeight="1" x14ac:dyDescent="0.25">
      <c r="A456" s="9"/>
      <c r="B456" s="7" t="s">
        <v>36</v>
      </c>
      <c r="C456" s="12" t="s">
        <v>655</v>
      </c>
      <c r="D456" s="7" t="s">
        <v>412</v>
      </c>
      <c r="E456" s="6" t="str">
        <f t="shared" si="21"/>
        <v>tra</v>
      </c>
      <c r="F456" s="6" t="str">
        <f t="shared" si="22"/>
        <v>road</v>
      </c>
      <c r="G456" s="6" t="str">
        <f t="shared" si="23"/>
        <v>truck_ice_frei_ethanol_1_ag</v>
      </c>
      <c r="H456" s="7"/>
      <c r="I456" s="21"/>
    </row>
    <row r="457" spans="1:9" ht="16.2" customHeight="1" x14ac:dyDescent="0.25">
      <c r="A457" s="9"/>
      <c r="B457" s="7" t="s">
        <v>17</v>
      </c>
      <c r="C457" s="12" t="s">
        <v>656</v>
      </c>
      <c r="D457" s="7" t="s">
        <v>400</v>
      </c>
      <c r="E457" s="6" t="str">
        <f t="shared" si="21"/>
        <v>tra</v>
      </c>
      <c r="F457" s="6" t="str">
        <f t="shared" si="22"/>
        <v>road</v>
      </c>
      <c r="G457" s="6" t="str">
        <f t="shared" si="23"/>
        <v>truck_ice_frei_hydrogen_1_ag</v>
      </c>
      <c r="H457" s="7"/>
      <c r="I457" s="21"/>
    </row>
    <row r="458" spans="1:9" ht="16.2" customHeight="1" x14ac:dyDescent="0.25">
      <c r="A458" s="9"/>
      <c r="B458" s="7" t="s">
        <v>30</v>
      </c>
      <c r="C458" s="5" t="s">
        <v>657</v>
      </c>
      <c r="D458" s="7" t="s">
        <v>406</v>
      </c>
      <c r="E458" s="6" t="str">
        <f t="shared" si="21"/>
        <v>tra</v>
      </c>
      <c r="F458" s="6" t="str">
        <f t="shared" si="22"/>
        <v>road</v>
      </c>
      <c r="G458" s="6" t="str">
        <f t="shared" si="23"/>
        <v>truck_ice_frei_gasoline_1_ag</v>
      </c>
      <c r="H458" s="7"/>
      <c r="I458" s="21"/>
    </row>
    <row r="459" spans="1:9" ht="16.2" customHeight="1" x14ac:dyDescent="0.25">
      <c r="A459" s="9"/>
      <c r="B459" s="7" t="s">
        <v>13</v>
      </c>
      <c r="C459" s="12" t="s">
        <v>658</v>
      </c>
      <c r="D459" s="7" t="s">
        <v>406</v>
      </c>
      <c r="E459" s="6" t="str">
        <f t="shared" si="21"/>
        <v>tra</v>
      </c>
      <c r="F459" s="6" t="str">
        <f t="shared" si="22"/>
        <v>road</v>
      </c>
      <c r="G459" s="6" t="str">
        <f t="shared" si="23"/>
        <v>truck_ice_frei_diesel_1_ag</v>
      </c>
      <c r="H459" s="7"/>
      <c r="I459" s="21"/>
    </row>
    <row r="460" spans="1:9" ht="16.2" customHeight="1" x14ac:dyDescent="0.25">
      <c r="A460" s="9"/>
      <c r="B460" s="7" t="s">
        <v>418</v>
      </c>
      <c r="C460" s="12" t="s">
        <v>659</v>
      </c>
      <c r="D460" s="7" t="s">
        <v>346</v>
      </c>
      <c r="E460" s="6" t="str">
        <f t="shared" si="21"/>
        <v>tra</v>
      </c>
      <c r="F460" s="6" t="str">
        <f t="shared" si="22"/>
        <v>air</v>
      </c>
      <c r="G460" s="6" t="str">
        <f t="shared" si="23"/>
        <v>ice_pass_1_ag</v>
      </c>
      <c r="H460" s="7"/>
      <c r="I460" s="21"/>
    </row>
    <row r="461" spans="1:9" ht="16.2" customHeight="1" x14ac:dyDescent="0.25">
      <c r="A461" s="9"/>
      <c r="B461" s="7" t="s">
        <v>420</v>
      </c>
      <c r="C461" s="12" t="s">
        <v>660</v>
      </c>
      <c r="D461" s="7" t="s">
        <v>350</v>
      </c>
      <c r="E461" s="6" t="str">
        <f t="shared" si="21"/>
        <v>tra</v>
      </c>
      <c r="F461" s="6" t="str">
        <f t="shared" si="22"/>
        <v>rail</v>
      </c>
      <c r="G461" s="6" t="str">
        <f t="shared" si="23"/>
        <v>hyb_pass_1_ag</v>
      </c>
      <c r="H461" s="7"/>
      <c r="I461" s="21"/>
    </row>
    <row r="462" spans="1:9" ht="16.2" customHeight="1" x14ac:dyDescent="0.25">
      <c r="A462" s="9"/>
      <c r="B462" s="7" t="s">
        <v>422</v>
      </c>
      <c r="C462" s="12" t="s">
        <v>661</v>
      </c>
      <c r="D462" s="7" t="s">
        <v>350</v>
      </c>
      <c r="E462" s="6" t="str">
        <f t="shared" si="21"/>
        <v>tra</v>
      </c>
      <c r="F462" s="6" t="str">
        <f t="shared" si="22"/>
        <v>rail</v>
      </c>
      <c r="G462" s="6" t="str">
        <f t="shared" si="23"/>
        <v>ice_pass_1_ag</v>
      </c>
      <c r="H462" s="7"/>
      <c r="I462" s="21"/>
    </row>
    <row r="463" spans="1:9" ht="16.2" customHeight="1" x14ac:dyDescent="0.25">
      <c r="A463" s="9"/>
      <c r="B463" s="7" t="s">
        <v>422</v>
      </c>
      <c r="C463" s="12" t="s">
        <v>662</v>
      </c>
      <c r="D463" s="7" t="s">
        <v>360</v>
      </c>
      <c r="E463" s="6" t="str">
        <f t="shared" si="21"/>
        <v>tra</v>
      </c>
      <c r="F463" s="6" t="str">
        <f t="shared" si="22"/>
        <v>rail</v>
      </c>
      <c r="G463" s="6" t="str">
        <f t="shared" si="23"/>
        <v>ice_frei_1_ag</v>
      </c>
      <c r="H463" s="7"/>
      <c r="I463" s="21"/>
    </row>
    <row r="464" spans="1:9" ht="16.2" customHeight="1" x14ac:dyDescent="0.25">
      <c r="A464" s="9"/>
      <c r="B464" s="7" t="s">
        <v>425</v>
      </c>
      <c r="C464" s="12" t="s">
        <v>663</v>
      </c>
      <c r="D464" s="7" t="s">
        <v>176</v>
      </c>
      <c r="E464" s="6" t="str">
        <f t="shared" si="21"/>
        <v>tra</v>
      </c>
      <c r="F464" s="6" t="str">
        <f t="shared" si="22"/>
        <v>water</v>
      </c>
      <c r="G464" s="6" t="str">
        <f t="shared" si="23"/>
        <v>ice_frei_1_ag</v>
      </c>
      <c r="H464" s="7"/>
      <c r="I464" s="21"/>
    </row>
    <row r="465" spans="1:9" ht="16.2" customHeight="1" x14ac:dyDescent="0.25">
      <c r="A465" s="9"/>
      <c r="B465" s="7" t="s">
        <v>427</v>
      </c>
      <c r="C465" s="12" t="s">
        <v>664</v>
      </c>
      <c r="D465" s="7" t="s">
        <v>382</v>
      </c>
      <c r="E465" s="6" t="str">
        <f t="shared" si="21"/>
        <v>tra</v>
      </c>
      <c r="F465" s="6" t="str">
        <f t="shared" si="22"/>
        <v>road</v>
      </c>
      <c r="G465" s="6" t="str">
        <f t="shared" si="23"/>
        <v>car_hyb_pass_1_ag</v>
      </c>
      <c r="H465" s="7"/>
      <c r="I465" s="21"/>
    </row>
    <row r="466" spans="1:9" ht="16.2" customHeight="1" x14ac:dyDescent="0.25">
      <c r="A466" s="9"/>
      <c r="B466" s="7" t="s">
        <v>429</v>
      </c>
      <c r="C466" s="12" t="s">
        <v>665</v>
      </c>
      <c r="D466" s="7" t="s">
        <v>382</v>
      </c>
      <c r="E466" s="6" t="str">
        <f t="shared" si="21"/>
        <v>tra</v>
      </c>
      <c r="F466" s="6" t="str">
        <f t="shared" si="22"/>
        <v>road</v>
      </c>
      <c r="G466" s="6" t="str">
        <f t="shared" si="23"/>
        <v>car_ice_pass_1_ag</v>
      </c>
      <c r="H466" s="7"/>
      <c r="I466" s="21"/>
    </row>
    <row r="467" spans="1:9" ht="16.2" customHeight="1" x14ac:dyDescent="0.25">
      <c r="A467" s="9"/>
      <c r="B467" s="7" t="s">
        <v>429</v>
      </c>
      <c r="C467" s="12" t="s">
        <v>666</v>
      </c>
      <c r="D467" s="7" t="s">
        <v>406</v>
      </c>
      <c r="E467" s="6" t="str">
        <f t="shared" si="21"/>
        <v>tra</v>
      </c>
      <c r="F467" s="6" t="str">
        <f t="shared" si="22"/>
        <v>road</v>
      </c>
      <c r="G467" s="6" t="str">
        <f t="shared" si="23"/>
        <v>truck_ice_frei_1_ag</v>
      </c>
      <c r="H467" s="7"/>
      <c r="I467" s="21"/>
    </row>
    <row r="468" spans="1:9" ht="16.2" customHeight="1" x14ac:dyDescent="0.25">
      <c r="A468" s="9"/>
      <c r="B468" s="7" t="s">
        <v>427</v>
      </c>
      <c r="C468" s="12" t="s">
        <v>667</v>
      </c>
      <c r="D468" s="7" t="s">
        <v>406</v>
      </c>
      <c r="E468" s="6" t="str">
        <f t="shared" si="21"/>
        <v>tra</v>
      </c>
      <c r="F468" s="6" t="str">
        <f t="shared" si="22"/>
        <v>road</v>
      </c>
      <c r="G468" s="6" t="str">
        <f t="shared" si="23"/>
        <v>truck_hyb_frei_1_ag</v>
      </c>
      <c r="H468" s="7"/>
      <c r="I468" s="21"/>
    </row>
    <row r="469" spans="1:9" ht="16.2" customHeight="1" x14ac:dyDescent="0.25">
      <c r="A469" s="9"/>
      <c r="B469" s="5" t="s">
        <v>433</v>
      </c>
      <c r="C469" s="12" t="s">
        <v>668</v>
      </c>
      <c r="D469" s="7" t="s">
        <v>400</v>
      </c>
      <c r="E469" s="6" t="str">
        <f t="shared" si="21"/>
        <v>tra</v>
      </c>
      <c r="F469" s="6" t="str">
        <f t="shared" si="22"/>
        <v>road</v>
      </c>
      <c r="G469" s="6" t="str">
        <f t="shared" si="23"/>
        <v>truck_fcev_frei_1_ag</v>
      </c>
      <c r="H469" s="7"/>
      <c r="I469" s="21"/>
    </row>
  </sheetData>
  <conditionalFormatting sqref="C2:C469">
    <cfRule type="cellIs" dxfId="0" priority="2" operator="equal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E3579"/>
  <sheetViews>
    <sheetView zoomScaleNormal="100" workbookViewId="0">
      <pane activePane="bottomRight" state="frozen"/>
    </sheetView>
  </sheetViews>
  <sheetFormatPr defaultColWidth="11.109375" defaultRowHeight="13.8" x14ac:dyDescent="0.25"/>
  <cols>
    <col min="1" max="1" width="4.33203125" style="1" customWidth="1"/>
    <col min="2" max="2" width="85.33203125" style="13" customWidth="1"/>
    <col min="3" max="3" width="59.88671875" style="13" customWidth="1"/>
    <col min="4" max="4" width="62.21875" style="13" customWidth="1"/>
    <col min="5" max="16384" width="11.109375" style="3"/>
  </cols>
  <sheetData>
    <row r="1" spans="2:4" ht="17.399999999999999" x14ac:dyDescent="0.3">
      <c r="B1" s="22" t="s">
        <v>0</v>
      </c>
      <c r="C1" s="22" t="s">
        <v>1</v>
      </c>
      <c r="D1" s="22" t="s">
        <v>2</v>
      </c>
    </row>
    <row r="2" spans="2:4" x14ac:dyDescent="0.25">
      <c r="B2" s="6" t="s">
        <v>15</v>
      </c>
      <c r="C2" s="6" t="s">
        <v>680</v>
      </c>
      <c r="D2" s="6" t="s">
        <v>41</v>
      </c>
    </row>
    <row r="3" spans="2:4" x14ac:dyDescent="0.25">
      <c r="B3" s="6" t="s">
        <v>681</v>
      </c>
      <c r="C3" s="6" t="s">
        <v>682</v>
      </c>
      <c r="D3" s="6" t="s">
        <v>15</v>
      </c>
    </row>
    <row r="4" spans="2:4" x14ac:dyDescent="0.25">
      <c r="B4" s="6" t="s">
        <v>681</v>
      </c>
      <c r="C4" s="6" t="s">
        <v>683</v>
      </c>
      <c r="D4" s="6" t="s">
        <v>41</v>
      </c>
    </row>
    <row r="5" spans="2:4" x14ac:dyDescent="0.25">
      <c r="B5" s="23" t="s">
        <v>66</v>
      </c>
      <c r="C5" s="14" t="s">
        <v>684</v>
      </c>
      <c r="D5" s="23" t="s">
        <v>58</v>
      </c>
    </row>
    <row r="6" spans="2:4" x14ac:dyDescent="0.25">
      <c r="B6" s="23" t="s">
        <v>66</v>
      </c>
      <c r="C6" s="14" t="s">
        <v>685</v>
      </c>
      <c r="D6" s="23" t="s">
        <v>64</v>
      </c>
    </row>
    <row r="7" spans="2:4" x14ac:dyDescent="0.25">
      <c r="B7" s="6" t="s">
        <v>61</v>
      </c>
      <c r="C7" s="6" t="s">
        <v>686</v>
      </c>
      <c r="D7" s="6" t="s">
        <v>22</v>
      </c>
    </row>
    <row r="8" spans="2:4" x14ac:dyDescent="0.25">
      <c r="B8" s="6" t="s">
        <v>687</v>
      </c>
      <c r="C8" s="6" t="s">
        <v>688</v>
      </c>
      <c r="D8" s="6" t="s">
        <v>689</v>
      </c>
    </row>
    <row r="9" spans="2:4" x14ac:dyDescent="0.25">
      <c r="B9" s="6" t="s">
        <v>62</v>
      </c>
      <c r="C9" s="6" t="s">
        <v>690</v>
      </c>
      <c r="D9" s="6" t="s">
        <v>21</v>
      </c>
    </row>
    <row r="10" spans="2:4" x14ac:dyDescent="0.25">
      <c r="B10" s="6" t="s">
        <v>17</v>
      </c>
      <c r="C10" s="6" t="s">
        <v>691</v>
      </c>
      <c r="D10" s="6" t="s">
        <v>60</v>
      </c>
    </row>
    <row r="11" spans="2:4" x14ac:dyDescent="0.25">
      <c r="B11" s="6" t="s">
        <v>17</v>
      </c>
      <c r="C11" s="6" t="s">
        <v>692</v>
      </c>
      <c r="D11" s="6" t="s">
        <v>59</v>
      </c>
    </row>
    <row r="12" spans="2:4" x14ac:dyDescent="0.25">
      <c r="B12" s="6" t="s">
        <v>17</v>
      </c>
      <c r="C12" s="6" t="s">
        <v>693</v>
      </c>
      <c r="D12" s="6" t="s">
        <v>694</v>
      </c>
    </row>
    <row r="13" spans="2:4" x14ac:dyDescent="0.25">
      <c r="B13" s="6" t="s">
        <v>8</v>
      </c>
      <c r="C13" s="6" t="s">
        <v>695</v>
      </c>
      <c r="D13" s="6" t="s">
        <v>696</v>
      </c>
    </row>
    <row r="14" spans="2:4" x14ac:dyDescent="0.25">
      <c r="B14" s="6" t="s">
        <v>38</v>
      </c>
      <c r="C14" s="6" t="s">
        <v>697</v>
      </c>
      <c r="D14" s="6" t="s">
        <v>698</v>
      </c>
    </row>
    <row r="15" spans="2:4" x14ac:dyDescent="0.25">
      <c r="B15" s="6" t="s">
        <v>699</v>
      </c>
      <c r="C15" s="6" t="s">
        <v>700</v>
      </c>
      <c r="D15" s="6" t="s">
        <v>701</v>
      </c>
    </row>
    <row r="16" spans="2:4" ht="14.4" x14ac:dyDescent="0.3">
      <c r="B16" s="6" t="s">
        <v>63</v>
      </c>
      <c r="C16" s="24" t="s">
        <v>702</v>
      </c>
      <c r="D16" s="6" t="s">
        <v>703</v>
      </c>
    </row>
    <row r="17" spans="1:4" x14ac:dyDescent="0.25">
      <c r="B17" s="6" t="s">
        <v>12</v>
      </c>
      <c r="C17" s="6" t="s">
        <v>704</v>
      </c>
      <c r="D17" s="6" t="s">
        <v>705</v>
      </c>
    </row>
    <row r="18" spans="1:4" ht="14.4" x14ac:dyDescent="0.3">
      <c r="A18" s="25"/>
      <c r="B18" s="6" t="s">
        <v>32</v>
      </c>
      <c r="C18" s="6" t="s">
        <v>706</v>
      </c>
      <c r="D18" s="6" t="s">
        <v>707</v>
      </c>
    </row>
    <row r="19" spans="1:4" ht="14.4" x14ac:dyDescent="0.3">
      <c r="A19" s="25"/>
      <c r="B19" s="6" t="s">
        <v>37</v>
      </c>
      <c r="C19" s="6" t="s">
        <v>708</v>
      </c>
      <c r="D19" s="6" t="s">
        <v>709</v>
      </c>
    </row>
    <row r="20" spans="1:4" x14ac:dyDescent="0.25">
      <c r="B20" s="6" t="s">
        <v>13</v>
      </c>
      <c r="C20" s="6" t="s">
        <v>710</v>
      </c>
      <c r="D20" s="6" t="s">
        <v>9</v>
      </c>
    </row>
    <row r="21" spans="1:4" ht="14.4" x14ac:dyDescent="0.3">
      <c r="A21" s="25"/>
      <c r="B21" s="6" t="s">
        <v>25</v>
      </c>
      <c r="C21" s="6" t="s">
        <v>711</v>
      </c>
      <c r="D21" s="6" t="s">
        <v>10</v>
      </c>
    </row>
    <row r="22" spans="1:4" x14ac:dyDescent="0.25">
      <c r="B22" s="6" t="s">
        <v>712</v>
      </c>
      <c r="C22" s="6" t="s">
        <v>713</v>
      </c>
      <c r="D22" s="6" t="s">
        <v>714</v>
      </c>
    </row>
    <row r="23" spans="1:4" x14ac:dyDescent="0.25">
      <c r="B23" s="6" t="s">
        <v>689</v>
      </c>
      <c r="C23" s="6" t="s">
        <v>715</v>
      </c>
      <c r="D23" s="6" t="s">
        <v>22</v>
      </c>
    </row>
    <row r="24" spans="1:4" x14ac:dyDescent="0.25">
      <c r="B24" s="6" t="s">
        <v>716</v>
      </c>
      <c r="C24" s="6" t="s">
        <v>717</v>
      </c>
      <c r="D24" s="6" t="s">
        <v>29</v>
      </c>
    </row>
    <row r="25" spans="1:4" x14ac:dyDescent="0.25">
      <c r="B25" s="6" t="s">
        <v>718</v>
      </c>
      <c r="C25" s="6" t="s">
        <v>719</v>
      </c>
      <c r="D25" s="6" t="s">
        <v>28</v>
      </c>
    </row>
    <row r="26" spans="1:4" x14ac:dyDescent="0.25">
      <c r="B26" s="6" t="s">
        <v>720</v>
      </c>
      <c r="C26" s="6" t="s">
        <v>721</v>
      </c>
      <c r="D26" s="6" t="s">
        <v>33</v>
      </c>
    </row>
    <row r="27" spans="1:4" x14ac:dyDescent="0.25">
      <c r="B27" s="6" t="s">
        <v>722</v>
      </c>
      <c r="C27" s="6" t="s">
        <v>723</v>
      </c>
      <c r="D27" s="6" t="s">
        <v>31</v>
      </c>
    </row>
    <row r="28" spans="1:4" x14ac:dyDescent="0.25">
      <c r="B28" s="6" t="s">
        <v>23</v>
      </c>
      <c r="C28" s="6" t="s">
        <v>724</v>
      </c>
      <c r="D28" s="6" t="s">
        <v>23</v>
      </c>
    </row>
    <row r="29" spans="1:4" x14ac:dyDescent="0.25">
      <c r="B29" s="6" t="s">
        <v>13</v>
      </c>
      <c r="C29" s="6" t="s">
        <v>725</v>
      </c>
      <c r="D29" s="6" t="s">
        <v>13</v>
      </c>
    </row>
    <row r="30" spans="1:4" x14ac:dyDescent="0.25">
      <c r="B30" s="6" t="s">
        <v>34</v>
      </c>
      <c r="C30" s="6" t="s">
        <v>726</v>
      </c>
      <c r="D30" s="6" t="s">
        <v>34</v>
      </c>
    </row>
    <row r="31" spans="1:4" x14ac:dyDescent="0.25">
      <c r="B31" s="6" t="s">
        <v>30</v>
      </c>
      <c r="C31" s="6" t="s">
        <v>727</v>
      </c>
      <c r="D31" s="6" t="s">
        <v>30</v>
      </c>
    </row>
    <row r="32" spans="1:4" x14ac:dyDescent="0.25">
      <c r="B32" s="6" t="s">
        <v>37</v>
      </c>
      <c r="C32" s="6" t="s">
        <v>728</v>
      </c>
      <c r="D32" s="6" t="s">
        <v>37</v>
      </c>
    </row>
    <row r="33" spans="2:5" x14ac:dyDescent="0.25">
      <c r="B33" s="6" t="s">
        <v>729</v>
      </c>
      <c r="C33" s="6" t="s">
        <v>730</v>
      </c>
      <c r="D33" s="6" t="s">
        <v>731</v>
      </c>
      <c r="E33" s="26" t="s">
        <v>732</v>
      </c>
    </row>
    <row r="34" spans="2:5" x14ac:dyDescent="0.25">
      <c r="B34" s="6" t="s">
        <v>731</v>
      </c>
      <c r="C34" s="6" t="s">
        <v>733</v>
      </c>
      <c r="D34" s="6" t="s">
        <v>734</v>
      </c>
      <c r="E34" s="26" t="s">
        <v>732</v>
      </c>
    </row>
    <row r="35" spans="2:5" x14ac:dyDescent="0.25">
      <c r="B35" s="6"/>
      <c r="C35" s="6" t="s">
        <v>735</v>
      </c>
      <c r="D35" s="6" t="s">
        <v>16</v>
      </c>
      <c r="E35" s="26" t="s">
        <v>736</v>
      </c>
    </row>
    <row r="36" spans="2:5" x14ac:dyDescent="0.25">
      <c r="B36" s="6"/>
      <c r="C36" s="6" t="s">
        <v>737</v>
      </c>
      <c r="D36" s="6" t="s">
        <v>19</v>
      </c>
      <c r="E36" s="26" t="s">
        <v>736</v>
      </c>
    </row>
    <row r="37" spans="2:5" x14ac:dyDescent="0.25">
      <c r="B37" s="27"/>
      <c r="C37" s="6" t="s">
        <v>738</v>
      </c>
      <c r="D37" s="6" t="s">
        <v>20</v>
      </c>
      <c r="E37" s="26" t="s">
        <v>736</v>
      </c>
    </row>
    <row r="38" spans="2:5" x14ac:dyDescent="0.25">
      <c r="B38" s="27"/>
      <c r="C38" s="6" t="s">
        <v>739</v>
      </c>
      <c r="D38" s="6" t="s">
        <v>18</v>
      </c>
      <c r="E38" s="26" t="s">
        <v>736</v>
      </c>
    </row>
    <row r="39" spans="2:5" x14ac:dyDescent="0.25">
      <c r="B39" s="27"/>
      <c r="C39" s="6" t="s">
        <v>740</v>
      </c>
      <c r="D39" s="6" t="s">
        <v>741</v>
      </c>
      <c r="E39" s="26" t="s">
        <v>736</v>
      </c>
    </row>
    <row r="40" spans="2:5" x14ac:dyDescent="0.25">
      <c r="B40" s="27"/>
      <c r="C40" s="6" t="s">
        <v>742</v>
      </c>
      <c r="D40" s="6" t="s">
        <v>14</v>
      </c>
      <c r="E40" s="26" t="s">
        <v>743</v>
      </c>
    </row>
    <row r="41" spans="2:5" x14ac:dyDescent="0.25">
      <c r="B41" s="27"/>
      <c r="C41" s="6" t="s">
        <v>744</v>
      </c>
      <c r="D41" s="6" t="s">
        <v>745</v>
      </c>
      <c r="E41" s="26" t="s">
        <v>743</v>
      </c>
    </row>
    <row r="42" spans="2:5" x14ac:dyDescent="0.25">
      <c r="B42" s="27"/>
      <c r="C42" s="6" t="s">
        <v>746</v>
      </c>
      <c r="D42" s="6" t="s">
        <v>121</v>
      </c>
      <c r="E42" s="26" t="s">
        <v>743</v>
      </c>
    </row>
    <row r="43" spans="2:5" x14ac:dyDescent="0.25">
      <c r="B43" s="6" t="s">
        <v>15</v>
      </c>
      <c r="C43" s="6" t="s">
        <v>747</v>
      </c>
      <c r="D43" s="6" t="s">
        <v>245</v>
      </c>
    </row>
    <row r="44" spans="2:5" x14ac:dyDescent="0.25">
      <c r="B44" s="6" t="s">
        <v>15</v>
      </c>
      <c r="C44" s="6" t="s">
        <v>748</v>
      </c>
      <c r="D44" s="6" t="s">
        <v>222</v>
      </c>
    </row>
    <row r="45" spans="2:5" x14ac:dyDescent="0.25">
      <c r="B45" s="6" t="s">
        <v>15</v>
      </c>
      <c r="C45" s="6" t="s">
        <v>749</v>
      </c>
      <c r="D45" s="6" t="s">
        <v>195</v>
      </c>
    </row>
    <row r="46" spans="2:5" x14ac:dyDescent="0.25">
      <c r="B46" s="6" t="s">
        <v>15</v>
      </c>
      <c r="C46" s="6" t="s">
        <v>750</v>
      </c>
      <c r="D46" s="6" t="s">
        <v>319</v>
      </c>
    </row>
    <row r="47" spans="2:5" x14ac:dyDescent="0.25">
      <c r="B47" s="6" t="s">
        <v>15</v>
      </c>
      <c r="C47" s="6" t="s">
        <v>751</v>
      </c>
      <c r="D47" s="6" t="s">
        <v>295</v>
      </c>
    </row>
    <row r="48" spans="2:5" x14ac:dyDescent="0.25">
      <c r="B48" s="6" t="s">
        <v>15</v>
      </c>
      <c r="C48" s="6" t="s">
        <v>752</v>
      </c>
      <c r="D48" s="6" t="s">
        <v>272</v>
      </c>
    </row>
    <row r="49" spans="2:4" x14ac:dyDescent="0.25">
      <c r="B49" s="6" t="s">
        <v>15</v>
      </c>
      <c r="C49" s="6" t="s">
        <v>753</v>
      </c>
      <c r="D49" s="6" t="s">
        <v>370</v>
      </c>
    </row>
    <row r="50" spans="2:4" x14ac:dyDescent="0.25">
      <c r="B50" s="6" t="s">
        <v>15</v>
      </c>
      <c r="C50" s="6" t="s">
        <v>754</v>
      </c>
      <c r="D50" s="6" t="s">
        <v>400</v>
      </c>
    </row>
    <row r="51" spans="2:4" x14ac:dyDescent="0.25">
      <c r="B51" s="6" t="s">
        <v>15</v>
      </c>
      <c r="C51" s="6" t="s">
        <v>755</v>
      </c>
      <c r="D51" s="6" t="s">
        <v>245</v>
      </c>
    </row>
    <row r="52" spans="2:4" x14ac:dyDescent="0.25">
      <c r="B52" s="6" t="s">
        <v>15</v>
      </c>
      <c r="C52" s="6" t="s">
        <v>756</v>
      </c>
      <c r="D52" s="6" t="s">
        <v>222</v>
      </c>
    </row>
    <row r="53" spans="2:4" x14ac:dyDescent="0.25">
      <c r="B53" s="6" t="s">
        <v>15</v>
      </c>
      <c r="C53" s="6" t="s">
        <v>757</v>
      </c>
      <c r="D53" s="6" t="s">
        <v>195</v>
      </c>
    </row>
    <row r="54" spans="2:4" x14ac:dyDescent="0.25">
      <c r="B54" s="6" t="s">
        <v>15</v>
      </c>
      <c r="C54" s="6" t="s">
        <v>758</v>
      </c>
      <c r="D54" s="6" t="s">
        <v>319</v>
      </c>
    </row>
    <row r="55" spans="2:4" x14ac:dyDescent="0.25">
      <c r="B55" s="6" t="s">
        <v>15</v>
      </c>
      <c r="C55" s="6" t="s">
        <v>759</v>
      </c>
      <c r="D55" s="6" t="s">
        <v>295</v>
      </c>
    </row>
    <row r="56" spans="2:4" x14ac:dyDescent="0.25">
      <c r="B56" s="6" t="s">
        <v>15</v>
      </c>
      <c r="C56" s="6" t="s">
        <v>760</v>
      </c>
      <c r="D56" s="6" t="s">
        <v>272</v>
      </c>
    </row>
    <row r="57" spans="2:4" x14ac:dyDescent="0.25">
      <c r="B57" s="6" t="s">
        <v>15</v>
      </c>
      <c r="C57" s="6" t="s">
        <v>761</v>
      </c>
      <c r="D57" s="6" t="s">
        <v>370</v>
      </c>
    </row>
    <row r="58" spans="2:4" x14ac:dyDescent="0.25">
      <c r="B58" s="6" t="s">
        <v>15</v>
      </c>
      <c r="C58" s="6" t="s">
        <v>762</v>
      </c>
      <c r="D58" s="6" t="s">
        <v>400</v>
      </c>
    </row>
    <row r="59" spans="2:4" x14ac:dyDescent="0.25">
      <c r="B59" s="6" t="s">
        <v>344</v>
      </c>
      <c r="C59" s="6" t="s">
        <v>763</v>
      </c>
      <c r="D59" s="27"/>
    </row>
    <row r="60" spans="2:4" x14ac:dyDescent="0.25">
      <c r="B60" s="6" t="s">
        <v>124</v>
      </c>
      <c r="C60" s="6" t="s">
        <v>764</v>
      </c>
      <c r="D60" s="27"/>
    </row>
    <row r="61" spans="2:4" x14ac:dyDescent="0.25">
      <c r="B61" s="6" t="s">
        <v>126</v>
      </c>
      <c r="C61" s="6" t="s">
        <v>765</v>
      </c>
      <c r="D61" s="27"/>
    </row>
    <row r="62" spans="2:4" x14ac:dyDescent="0.25">
      <c r="B62" s="6" t="s">
        <v>766</v>
      </c>
      <c r="C62" s="6" t="s">
        <v>767</v>
      </c>
      <c r="D62" s="27"/>
    </row>
    <row r="63" spans="2:4" x14ac:dyDescent="0.25">
      <c r="B63" s="6" t="s">
        <v>354</v>
      </c>
      <c r="C63" s="6" t="s">
        <v>768</v>
      </c>
      <c r="D63" s="27"/>
    </row>
    <row r="64" spans="2:4" x14ac:dyDescent="0.25">
      <c r="B64" s="6" t="s">
        <v>147</v>
      </c>
      <c r="C64" s="6" t="s">
        <v>769</v>
      </c>
      <c r="D64" s="27"/>
    </row>
    <row r="65" spans="2:4" x14ac:dyDescent="0.25">
      <c r="B65" s="6" t="s">
        <v>149</v>
      </c>
      <c r="C65" s="6" t="s">
        <v>770</v>
      </c>
      <c r="D65" s="27"/>
    </row>
    <row r="66" spans="2:4" x14ac:dyDescent="0.25">
      <c r="B66" s="6" t="s">
        <v>358</v>
      </c>
      <c r="C66" s="6" t="s">
        <v>771</v>
      </c>
      <c r="D66" s="27"/>
    </row>
    <row r="67" spans="2:4" x14ac:dyDescent="0.25">
      <c r="B67" s="6" t="s">
        <v>161</v>
      </c>
      <c r="C67" s="6" t="s">
        <v>772</v>
      </c>
      <c r="D67" s="27"/>
    </row>
    <row r="68" spans="2:4" x14ac:dyDescent="0.25">
      <c r="B68" s="6" t="s">
        <v>159</v>
      </c>
      <c r="C68" s="6" t="s">
        <v>773</v>
      </c>
      <c r="D68" s="27"/>
    </row>
    <row r="69" spans="2:4" x14ac:dyDescent="0.25">
      <c r="B69" s="6" t="s">
        <v>174</v>
      </c>
      <c r="C69" s="6" t="s">
        <v>774</v>
      </c>
      <c r="D69" s="27"/>
    </row>
    <row r="70" spans="2:4" x14ac:dyDescent="0.25">
      <c r="B70" s="6" t="s">
        <v>370</v>
      </c>
      <c r="C70" s="6" t="s">
        <v>775</v>
      </c>
      <c r="D70" s="27"/>
    </row>
    <row r="71" spans="2:4" x14ac:dyDescent="0.25">
      <c r="B71" s="6" t="s">
        <v>195</v>
      </c>
      <c r="C71" s="6" t="s">
        <v>776</v>
      </c>
      <c r="D71" s="27"/>
    </row>
    <row r="72" spans="2:4" x14ac:dyDescent="0.25">
      <c r="B72" s="6" t="s">
        <v>222</v>
      </c>
      <c r="C72" s="6" t="s">
        <v>777</v>
      </c>
      <c r="D72" s="27"/>
    </row>
    <row r="73" spans="2:4" x14ac:dyDescent="0.25">
      <c r="B73" s="6" t="s">
        <v>245</v>
      </c>
      <c r="C73" s="28" t="s">
        <v>778</v>
      </c>
      <c r="D73" s="27"/>
    </row>
    <row r="74" spans="2:4" x14ac:dyDescent="0.25">
      <c r="B74" s="6" t="s">
        <v>268</v>
      </c>
      <c r="C74" s="6" t="s">
        <v>779</v>
      </c>
      <c r="D74" s="27"/>
    </row>
    <row r="75" spans="2:4" x14ac:dyDescent="0.25">
      <c r="B75" s="6" t="s">
        <v>400</v>
      </c>
      <c r="C75" s="6" t="s">
        <v>780</v>
      </c>
      <c r="D75" s="27"/>
    </row>
    <row r="76" spans="2:4" x14ac:dyDescent="0.25">
      <c r="B76" s="6" t="s">
        <v>272</v>
      </c>
      <c r="C76" s="6" t="s">
        <v>781</v>
      </c>
      <c r="D76" s="27"/>
    </row>
    <row r="77" spans="2:4" x14ac:dyDescent="0.25">
      <c r="B77" s="6" t="s">
        <v>295</v>
      </c>
      <c r="C77" s="6" t="s">
        <v>782</v>
      </c>
      <c r="D77" s="27"/>
    </row>
    <row r="78" spans="2:4" x14ac:dyDescent="0.25">
      <c r="B78" s="6" t="s">
        <v>319</v>
      </c>
      <c r="C78" s="6" t="s">
        <v>783</v>
      </c>
      <c r="D78" s="27"/>
    </row>
    <row r="79" spans="2:4" x14ac:dyDescent="0.25">
      <c r="B79" s="6" t="s">
        <v>365</v>
      </c>
      <c r="C79" s="6" t="s">
        <v>784</v>
      </c>
      <c r="D79" s="27"/>
    </row>
    <row r="80" spans="2:4" x14ac:dyDescent="0.25">
      <c r="B80" s="6" t="s">
        <v>184</v>
      </c>
      <c r="C80" s="6" t="s">
        <v>785</v>
      </c>
      <c r="D80" s="27"/>
    </row>
    <row r="81" spans="2:4" x14ac:dyDescent="0.25">
      <c r="B81" s="6" t="s">
        <v>186</v>
      </c>
      <c r="C81" s="6" t="s">
        <v>786</v>
      </c>
      <c r="D81" s="27"/>
    </row>
    <row r="82" spans="2:4" x14ac:dyDescent="0.25">
      <c r="B82" s="6" t="s">
        <v>787</v>
      </c>
      <c r="C82" s="6" t="s">
        <v>788</v>
      </c>
      <c r="D82" s="27"/>
    </row>
    <row r="83" spans="2:4" x14ac:dyDescent="0.25">
      <c r="B83" s="6" t="s">
        <v>789</v>
      </c>
      <c r="C83" s="6" t="s">
        <v>790</v>
      </c>
      <c r="D83" s="27"/>
    </row>
    <row r="84" spans="2:4" x14ac:dyDescent="0.25">
      <c r="B84" s="6" t="s">
        <v>67</v>
      </c>
      <c r="C84" s="6" t="s">
        <v>791</v>
      </c>
      <c r="D84" s="27"/>
    </row>
    <row r="85" spans="2:4" x14ac:dyDescent="0.25">
      <c r="B85" s="6" t="s">
        <v>68</v>
      </c>
      <c r="C85" s="6" t="s">
        <v>792</v>
      </c>
      <c r="D85" s="27"/>
    </row>
    <row r="86" spans="2:4" x14ac:dyDescent="0.25">
      <c r="B86" s="6" t="s">
        <v>69</v>
      </c>
      <c r="C86" s="6" t="s">
        <v>793</v>
      </c>
      <c r="D86" s="27"/>
    </row>
    <row r="87" spans="2:4" x14ac:dyDescent="0.25">
      <c r="B87" s="6" t="s">
        <v>85</v>
      </c>
      <c r="C87" s="6" t="s">
        <v>794</v>
      </c>
      <c r="D87" s="27"/>
    </row>
    <row r="88" spans="2:4" x14ac:dyDescent="0.25">
      <c r="B88" s="6" t="s">
        <v>86</v>
      </c>
      <c r="C88" s="6" t="s">
        <v>795</v>
      </c>
      <c r="D88" s="27"/>
    </row>
    <row r="89" spans="2:4" x14ac:dyDescent="0.25">
      <c r="B89" s="6" t="s">
        <v>87</v>
      </c>
      <c r="C89" s="6" t="s">
        <v>796</v>
      </c>
      <c r="D89" s="27"/>
    </row>
    <row r="90" spans="2:4" x14ac:dyDescent="0.25">
      <c r="B90" s="6" t="s">
        <v>88</v>
      </c>
      <c r="C90" s="6" t="s">
        <v>797</v>
      </c>
      <c r="D90" s="27"/>
    </row>
    <row r="91" spans="2:4" x14ac:dyDescent="0.25">
      <c r="B91" s="6" t="s">
        <v>89</v>
      </c>
      <c r="C91" s="6" t="s">
        <v>798</v>
      </c>
      <c r="D91" s="27"/>
    </row>
    <row r="92" spans="2:4" x14ac:dyDescent="0.25">
      <c r="B92" s="6" t="s">
        <v>90</v>
      </c>
      <c r="C92" s="6" t="s">
        <v>799</v>
      </c>
      <c r="D92" s="27"/>
    </row>
    <row r="93" spans="2:4" x14ac:dyDescent="0.25">
      <c r="B93" s="6" t="s">
        <v>91</v>
      </c>
      <c r="C93" s="6" t="s">
        <v>800</v>
      </c>
      <c r="D93" s="27"/>
    </row>
    <row r="94" spans="2:4" x14ac:dyDescent="0.25">
      <c r="B94" s="6" t="s">
        <v>92</v>
      </c>
      <c r="C94" s="6" t="s">
        <v>801</v>
      </c>
      <c r="D94" s="27"/>
    </row>
    <row r="95" spans="2:4" x14ac:dyDescent="0.25">
      <c r="B95" s="6" t="s">
        <v>93</v>
      </c>
      <c r="C95" s="6" t="s">
        <v>802</v>
      </c>
      <c r="D95" s="27"/>
    </row>
    <row r="96" spans="2:4" x14ac:dyDescent="0.25">
      <c r="B96" s="6" t="s">
        <v>94</v>
      </c>
      <c r="C96" s="6" t="s">
        <v>803</v>
      </c>
      <c r="D96" s="27"/>
    </row>
    <row r="97" spans="2:4" x14ac:dyDescent="0.25">
      <c r="B97" s="6" t="s">
        <v>95</v>
      </c>
      <c r="C97" s="6" t="s">
        <v>804</v>
      </c>
      <c r="D97" s="27"/>
    </row>
    <row r="98" spans="2:4" x14ac:dyDescent="0.25">
      <c r="B98" s="6" t="s">
        <v>96</v>
      </c>
      <c r="C98" s="6" t="s">
        <v>805</v>
      </c>
      <c r="D98" s="27"/>
    </row>
    <row r="99" spans="2:4" x14ac:dyDescent="0.25">
      <c r="B99" s="6" t="s">
        <v>97</v>
      </c>
      <c r="C99" s="6" t="s">
        <v>806</v>
      </c>
      <c r="D99" s="27"/>
    </row>
    <row r="100" spans="2:4" x14ac:dyDescent="0.25">
      <c r="B100" s="6" t="s">
        <v>98</v>
      </c>
      <c r="C100" s="6" t="s">
        <v>807</v>
      </c>
      <c r="D100" s="27"/>
    </row>
    <row r="101" spans="2:4" x14ac:dyDescent="0.25">
      <c r="B101" s="6" t="s">
        <v>99</v>
      </c>
      <c r="C101" s="6" t="s">
        <v>808</v>
      </c>
      <c r="D101" s="27"/>
    </row>
    <row r="102" spans="2:4" x14ac:dyDescent="0.25">
      <c r="B102" s="6" t="s">
        <v>100</v>
      </c>
      <c r="C102" s="6" t="s">
        <v>809</v>
      </c>
      <c r="D102" s="27"/>
    </row>
    <row r="103" spans="2:4" x14ac:dyDescent="0.25">
      <c r="B103" s="6" t="s">
        <v>101</v>
      </c>
      <c r="C103" s="6" t="s">
        <v>810</v>
      </c>
      <c r="D103" s="27"/>
    </row>
    <row r="104" spans="2:4" x14ac:dyDescent="0.25">
      <c r="B104" s="6" t="s">
        <v>102</v>
      </c>
      <c r="C104" s="6" t="s">
        <v>811</v>
      </c>
      <c r="D104" s="27"/>
    </row>
    <row r="105" spans="2:4" x14ac:dyDescent="0.25">
      <c r="B105" s="6" t="s">
        <v>103</v>
      </c>
      <c r="C105" s="6" t="s">
        <v>812</v>
      </c>
      <c r="D105" s="27"/>
    </row>
    <row r="106" spans="2:4" x14ac:dyDescent="0.25">
      <c r="B106" s="6" t="s">
        <v>104</v>
      </c>
      <c r="C106" s="6" t="s">
        <v>813</v>
      </c>
      <c r="D106" s="27"/>
    </row>
    <row r="107" spans="2:4" x14ac:dyDescent="0.25">
      <c r="B107" s="6" t="s">
        <v>105</v>
      </c>
      <c r="C107" s="6" t="s">
        <v>814</v>
      </c>
      <c r="D107" s="27"/>
    </row>
    <row r="108" spans="2:4" x14ac:dyDescent="0.25">
      <c r="B108" s="6" t="s">
        <v>106</v>
      </c>
      <c r="C108" s="6" t="s">
        <v>815</v>
      </c>
      <c r="D108" s="27"/>
    </row>
    <row r="109" spans="2:4" x14ac:dyDescent="0.25">
      <c r="B109" s="6" t="s">
        <v>107</v>
      </c>
      <c r="C109" s="6" t="s">
        <v>816</v>
      </c>
      <c r="D109" s="27"/>
    </row>
    <row r="110" spans="2:4" x14ac:dyDescent="0.25">
      <c r="B110" s="6" t="s">
        <v>108</v>
      </c>
      <c r="C110" s="6" t="s">
        <v>817</v>
      </c>
      <c r="D110" s="27"/>
    </row>
    <row r="111" spans="2:4" x14ac:dyDescent="0.25">
      <c r="B111" s="6" t="s">
        <v>109</v>
      </c>
      <c r="C111" s="6" t="s">
        <v>818</v>
      </c>
      <c r="D111" s="27"/>
    </row>
    <row r="112" spans="2:4" x14ac:dyDescent="0.25">
      <c r="B112" s="6" t="s">
        <v>110</v>
      </c>
      <c r="C112" s="6" t="s">
        <v>819</v>
      </c>
      <c r="D112" s="27"/>
    </row>
    <row r="113" spans="2:4" x14ac:dyDescent="0.25">
      <c r="B113" s="6" t="s">
        <v>111</v>
      </c>
      <c r="C113" s="6" t="s">
        <v>820</v>
      </c>
      <c r="D113" s="27"/>
    </row>
    <row r="114" spans="2:4" x14ac:dyDescent="0.25">
      <c r="B114" s="6" t="s">
        <v>112</v>
      </c>
      <c r="C114" s="6" t="s">
        <v>821</v>
      </c>
      <c r="D114" s="27"/>
    </row>
    <row r="115" spans="2:4" x14ac:dyDescent="0.25">
      <c r="B115" s="6" t="s">
        <v>113</v>
      </c>
      <c r="C115" s="6" t="s">
        <v>822</v>
      </c>
      <c r="D115" s="27"/>
    </row>
    <row r="116" spans="2:4" x14ac:dyDescent="0.25">
      <c r="B116" s="6" t="s">
        <v>114</v>
      </c>
      <c r="C116" s="6" t="s">
        <v>823</v>
      </c>
      <c r="D116" s="27"/>
    </row>
    <row r="117" spans="2:4" x14ac:dyDescent="0.25">
      <c r="B117" s="6" t="s">
        <v>115</v>
      </c>
      <c r="C117" s="6" t="s">
        <v>824</v>
      </c>
      <c r="D117" s="27"/>
    </row>
    <row r="118" spans="2:4" x14ac:dyDescent="0.25">
      <c r="B118" s="6" t="s">
        <v>116</v>
      </c>
      <c r="C118" s="6" t="s">
        <v>825</v>
      </c>
      <c r="D118" s="27"/>
    </row>
    <row r="119" spans="2:4" x14ac:dyDescent="0.25">
      <c r="B119" s="6" t="s">
        <v>117</v>
      </c>
      <c r="C119" s="6" t="s">
        <v>826</v>
      </c>
      <c r="D119" s="27"/>
    </row>
    <row r="120" spans="2:4" x14ac:dyDescent="0.25">
      <c r="B120" s="6" t="s">
        <v>118</v>
      </c>
      <c r="C120" s="6" t="s">
        <v>827</v>
      </c>
      <c r="D120" s="27"/>
    </row>
    <row r="121" spans="2:4" x14ac:dyDescent="0.25">
      <c r="B121" s="6" t="s">
        <v>119</v>
      </c>
      <c r="C121" s="6" t="s">
        <v>828</v>
      </c>
      <c r="D121" s="27"/>
    </row>
    <row r="122" spans="2:4" x14ac:dyDescent="0.25">
      <c r="B122" s="6" t="s">
        <v>120</v>
      </c>
      <c r="C122" s="6" t="s">
        <v>829</v>
      </c>
      <c r="D122" s="27"/>
    </row>
    <row r="123" spans="2:4" x14ac:dyDescent="0.25">
      <c r="B123" s="6" t="s">
        <v>70</v>
      </c>
      <c r="C123" s="6" t="s">
        <v>830</v>
      </c>
      <c r="D123" s="27"/>
    </row>
    <row r="124" spans="2:4" x14ac:dyDescent="0.25">
      <c r="B124" s="6" t="s">
        <v>71</v>
      </c>
      <c r="C124" s="6" t="s">
        <v>831</v>
      </c>
      <c r="D124" s="27"/>
    </row>
    <row r="125" spans="2:4" x14ac:dyDescent="0.25">
      <c r="B125" s="6" t="s">
        <v>72</v>
      </c>
      <c r="C125" s="6" t="s">
        <v>832</v>
      </c>
      <c r="D125" s="27"/>
    </row>
    <row r="126" spans="2:4" x14ac:dyDescent="0.25">
      <c r="B126" s="6" t="s">
        <v>73</v>
      </c>
      <c r="C126" s="6" t="s">
        <v>833</v>
      </c>
      <c r="D126" s="27"/>
    </row>
    <row r="127" spans="2:4" x14ac:dyDescent="0.25">
      <c r="B127" s="6" t="s">
        <v>74</v>
      </c>
      <c r="C127" s="6" t="s">
        <v>834</v>
      </c>
      <c r="D127" s="27"/>
    </row>
    <row r="128" spans="2:4" x14ac:dyDescent="0.25">
      <c r="B128" s="6" t="s">
        <v>75</v>
      </c>
      <c r="C128" s="6" t="s">
        <v>835</v>
      </c>
      <c r="D128" s="27"/>
    </row>
    <row r="129" spans="2:4" x14ac:dyDescent="0.25">
      <c r="B129" s="6" t="s">
        <v>76</v>
      </c>
      <c r="C129" s="6" t="s">
        <v>836</v>
      </c>
      <c r="D129" s="27"/>
    </row>
    <row r="130" spans="2:4" x14ac:dyDescent="0.25">
      <c r="B130" s="6" t="s">
        <v>837</v>
      </c>
      <c r="C130" s="6" t="s">
        <v>838</v>
      </c>
      <c r="D130" s="27"/>
    </row>
    <row r="131" spans="2:4" x14ac:dyDescent="0.25">
      <c r="B131" s="6" t="s">
        <v>77</v>
      </c>
      <c r="C131" s="6" t="s">
        <v>839</v>
      </c>
      <c r="D131" s="27"/>
    </row>
    <row r="132" spans="2:4" x14ac:dyDescent="0.25">
      <c r="B132" s="6" t="s">
        <v>78</v>
      </c>
      <c r="C132" s="6" t="s">
        <v>840</v>
      </c>
      <c r="D132" s="27"/>
    </row>
    <row r="133" spans="2:4" x14ac:dyDescent="0.25">
      <c r="B133" s="6" t="s">
        <v>79</v>
      </c>
      <c r="C133" s="6" t="s">
        <v>841</v>
      </c>
      <c r="D133" s="27"/>
    </row>
    <row r="134" spans="2:4" x14ac:dyDescent="0.25">
      <c r="B134" s="6" t="s">
        <v>80</v>
      </c>
      <c r="C134" s="6" t="s">
        <v>842</v>
      </c>
      <c r="D134" s="27"/>
    </row>
    <row r="135" spans="2:4" x14ac:dyDescent="0.25">
      <c r="B135" s="6" t="s">
        <v>81</v>
      </c>
      <c r="C135" s="6" t="s">
        <v>843</v>
      </c>
      <c r="D135" s="27"/>
    </row>
    <row r="136" spans="2:4" x14ac:dyDescent="0.25">
      <c r="B136" s="6" t="s">
        <v>82</v>
      </c>
      <c r="C136" s="6" t="s">
        <v>844</v>
      </c>
      <c r="D136" s="27"/>
    </row>
    <row r="137" spans="2:4" x14ac:dyDescent="0.25">
      <c r="B137" s="6" t="s">
        <v>83</v>
      </c>
      <c r="C137" s="6" t="s">
        <v>845</v>
      </c>
      <c r="D137" s="27"/>
    </row>
    <row r="138" spans="2:4" x14ac:dyDescent="0.25">
      <c r="B138" s="6" t="s">
        <v>84</v>
      </c>
      <c r="C138" s="6" t="s">
        <v>846</v>
      </c>
      <c r="D138" s="27"/>
    </row>
    <row r="139" spans="2:4" x14ac:dyDescent="0.25">
      <c r="B139" s="6" t="s">
        <v>847</v>
      </c>
      <c r="C139" s="6" t="s">
        <v>848</v>
      </c>
      <c r="D139" s="27"/>
    </row>
    <row r="140" spans="2:4" x14ac:dyDescent="0.25">
      <c r="B140" s="6" t="s">
        <v>40</v>
      </c>
      <c r="C140" s="6" t="s">
        <v>849</v>
      </c>
      <c r="D140" s="27"/>
    </row>
    <row r="141" spans="2:4" x14ac:dyDescent="0.25">
      <c r="B141" s="6" t="s">
        <v>850</v>
      </c>
      <c r="C141" s="6" t="s">
        <v>851</v>
      </c>
      <c r="D141" s="27"/>
    </row>
    <row r="142" spans="2:4" x14ac:dyDescent="0.25">
      <c r="B142" s="6" t="s">
        <v>852</v>
      </c>
      <c r="C142" s="6" t="s">
        <v>853</v>
      </c>
      <c r="D142" s="27"/>
    </row>
    <row r="143" spans="2:4" x14ac:dyDescent="0.25">
      <c r="B143" s="6" t="s">
        <v>854</v>
      </c>
      <c r="C143" s="6" t="s">
        <v>855</v>
      </c>
      <c r="D143" s="27"/>
    </row>
    <row r="144" spans="2:4" x14ac:dyDescent="0.25">
      <c r="B144" s="6" t="s">
        <v>856</v>
      </c>
      <c r="C144" s="6" t="s">
        <v>857</v>
      </c>
      <c r="D144" s="27"/>
    </row>
    <row r="145" spans="2:4" x14ac:dyDescent="0.25">
      <c r="B145" s="6" t="s">
        <v>858</v>
      </c>
      <c r="C145" s="6" t="s">
        <v>859</v>
      </c>
      <c r="D145" s="27"/>
    </row>
    <row r="146" spans="2:4" x14ac:dyDescent="0.25">
      <c r="B146" s="6" t="s">
        <v>860</v>
      </c>
      <c r="C146" s="6" t="s">
        <v>861</v>
      </c>
      <c r="D146" s="27"/>
    </row>
    <row r="147" spans="2:4" x14ac:dyDescent="0.25">
      <c r="B147" s="6" t="s">
        <v>42</v>
      </c>
      <c r="C147" s="6" t="s">
        <v>862</v>
      </c>
      <c r="D147" s="27"/>
    </row>
    <row r="148" spans="2:4" x14ac:dyDescent="0.25">
      <c r="B148" s="6" t="s">
        <v>863</v>
      </c>
      <c r="C148" s="6" t="s">
        <v>864</v>
      </c>
      <c r="D148" s="27"/>
    </row>
    <row r="149" spans="2:4" x14ac:dyDescent="0.25">
      <c r="B149" s="6" t="s">
        <v>43</v>
      </c>
      <c r="C149" s="6" t="s">
        <v>865</v>
      </c>
      <c r="D149" s="27"/>
    </row>
    <row r="150" spans="2:4" x14ac:dyDescent="0.25">
      <c r="B150" s="6" t="s">
        <v>44</v>
      </c>
      <c r="C150" s="6" t="s">
        <v>866</v>
      </c>
      <c r="D150" s="27"/>
    </row>
    <row r="151" spans="2:4" x14ac:dyDescent="0.25">
      <c r="B151" s="6" t="s">
        <v>45</v>
      </c>
      <c r="C151" s="6" t="s">
        <v>867</v>
      </c>
      <c r="D151" s="27"/>
    </row>
    <row r="152" spans="2:4" x14ac:dyDescent="0.25">
      <c r="B152" s="6" t="s">
        <v>46</v>
      </c>
      <c r="C152" s="6" t="s">
        <v>868</v>
      </c>
      <c r="D152" s="27"/>
    </row>
    <row r="153" spans="2:4" x14ac:dyDescent="0.25">
      <c r="B153" s="6" t="s">
        <v>47</v>
      </c>
      <c r="C153" s="6" t="s">
        <v>869</v>
      </c>
      <c r="D153" s="27"/>
    </row>
    <row r="154" spans="2:4" x14ac:dyDescent="0.25">
      <c r="B154" s="6" t="s">
        <v>48</v>
      </c>
      <c r="C154" s="6" t="s">
        <v>870</v>
      </c>
      <c r="D154" s="27"/>
    </row>
    <row r="155" spans="2:4" x14ac:dyDescent="0.25">
      <c r="B155" s="6" t="s">
        <v>49</v>
      </c>
      <c r="C155" s="6" t="s">
        <v>871</v>
      </c>
      <c r="D155" s="27"/>
    </row>
    <row r="156" spans="2:4" x14ac:dyDescent="0.25">
      <c r="B156" s="6" t="s">
        <v>50</v>
      </c>
      <c r="C156" s="6" t="s">
        <v>872</v>
      </c>
      <c r="D156" s="27"/>
    </row>
    <row r="157" spans="2:4" x14ac:dyDescent="0.25">
      <c r="B157" s="6" t="s">
        <v>51</v>
      </c>
      <c r="C157" s="6" t="s">
        <v>873</v>
      </c>
      <c r="D157" s="27"/>
    </row>
    <row r="158" spans="2:4" x14ac:dyDescent="0.25">
      <c r="B158" s="6" t="s">
        <v>52</v>
      </c>
      <c r="C158" s="6" t="s">
        <v>874</v>
      </c>
      <c r="D158" s="27"/>
    </row>
    <row r="159" spans="2:4" x14ac:dyDescent="0.25">
      <c r="B159" s="6" t="s">
        <v>53</v>
      </c>
      <c r="C159" s="6" t="s">
        <v>875</v>
      </c>
      <c r="D159" s="27"/>
    </row>
    <row r="160" spans="2:4" x14ac:dyDescent="0.25">
      <c r="B160" s="6" t="s">
        <v>54</v>
      </c>
      <c r="C160" s="6" t="s">
        <v>876</v>
      </c>
      <c r="D160" s="27"/>
    </row>
    <row r="161" spans="2:4" x14ac:dyDescent="0.25">
      <c r="B161" s="6" t="s">
        <v>877</v>
      </c>
      <c r="C161" s="6" t="s">
        <v>878</v>
      </c>
      <c r="D161" s="27"/>
    </row>
    <row r="162" spans="2:4" x14ac:dyDescent="0.25">
      <c r="B162" s="6" t="s">
        <v>56</v>
      </c>
      <c r="C162" s="6" t="s">
        <v>879</v>
      </c>
      <c r="D162" s="27"/>
    </row>
    <row r="163" spans="2:4" x14ac:dyDescent="0.25">
      <c r="B163" s="6" t="s">
        <v>57</v>
      </c>
      <c r="C163" s="6" t="s">
        <v>880</v>
      </c>
      <c r="D163" s="27"/>
    </row>
    <row r="164" spans="2:4" x14ac:dyDescent="0.25">
      <c r="B164" s="6" t="s">
        <v>881</v>
      </c>
      <c r="C164" s="6" t="s">
        <v>882</v>
      </c>
      <c r="D164" s="27"/>
    </row>
    <row r="165" spans="2:4" x14ac:dyDescent="0.25">
      <c r="B165" s="6" t="s">
        <v>65</v>
      </c>
      <c r="C165" s="6" t="s">
        <v>883</v>
      </c>
      <c r="D165" s="27"/>
    </row>
    <row r="166" spans="2:4" x14ac:dyDescent="0.25">
      <c r="B166" s="6" t="s">
        <v>669</v>
      </c>
      <c r="C166" s="6" t="s">
        <v>884</v>
      </c>
      <c r="D166" s="27"/>
    </row>
    <row r="167" spans="2:4" x14ac:dyDescent="0.25">
      <c r="B167" s="6" t="s">
        <v>670</v>
      </c>
      <c r="C167" s="6" t="s">
        <v>885</v>
      </c>
      <c r="D167" s="27"/>
    </row>
    <row r="168" spans="2:4" x14ac:dyDescent="0.25">
      <c r="B168" s="6" t="s">
        <v>671</v>
      </c>
      <c r="C168" s="6" t="s">
        <v>886</v>
      </c>
      <c r="D168" s="27"/>
    </row>
    <row r="169" spans="2:4" x14ac:dyDescent="0.25">
      <c r="B169" s="6" t="s">
        <v>672</v>
      </c>
      <c r="C169" s="6" t="s">
        <v>887</v>
      </c>
      <c r="D169" s="27"/>
    </row>
    <row r="170" spans="2:4" x14ac:dyDescent="0.25">
      <c r="B170" s="6" t="s">
        <v>673</v>
      </c>
      <c r="C170" s="6" t="s">
        <v>888</v>
      </c>
      <c r="D170" s="27"/>
    </row>
    <row r="171" spans="2:4" x14ac:dyDescent="0.25">
      <c r="B171" s="6" t="s">
        <v>674</v>
      </c>
      <c r="C171" s="6" t="s">
        <v>889</v>
      </c>
      <c r="D171" s="27"/>
    </row>
    <row r="172" spans="2:4" x14ac:dyDescent="0.25">
      <c r="B172" s="6" t="s">
        <v>675</v>
      </c>
      <c r="C172" s="6" t="s">
        <v>890</v>
      </c>
      <c r="D172" s="27"/>
    </row>
    <row r="173" spans="2:4" x14ac:dyDescent="0.25">
      <c r="B173" s="6" t="s">
        <v>676</v>
      </c>
      <c r="C173" s="6" t="s">
        <v>891</v>
      </c>
      <c r="D173" s="27"/>
    </row>
    <row r="174" spans="2:4" x14ac:dyDescent="0.25">
      <c r="B174" s="6" t="s">
        <v>677</v>
      </c>
      <c r="C174" s="6" t="s">
        <v>892</v>
      </c>
      <c r="D174" s="27"/>
    </row>
    <row r="175" spans="2:4" x14ac:dyDescent="0.25">
      <c r="B175" s="6" t="s">
        <v>678</v>
      </c>
      <c r="C175" s="6" t="s">
        <v>893</v>
      </c>
      <c r="D175" s="27"/>
    </row>
    <row r="176" spans="2:4" x14ac:dyDescent="0.25">
      <c r="B176" s="6" t="s">
        <v>679</v>
      </c>
      <c r="C176" s="6" t="s">
        <v>894</v>
      </c>
      <c r="D176" s="27"/>
    </row>
    <row r="177" spans="2:4" ht="14.4" hidden="1" x14ac:dyDescent="0.3">
      <c r="B177" s="29"/>
      <c r="C177" s="29"/>
      <c r="D177" s="29"/>
    </row>
    <row r="178" spans="2:4" ht="14.4" hidden="1" x14ac:dyDescent="0.3">
      <c r="B178" s="29"/>
      <c r="C178" s="29"/>
      <c r="D178" s="29"/>
    </row>
    <row r="179" spans="2:4" hidden="1" x14ac:dyDescent="0.25"/>
    <row r="180" spans="2:4" hidden="1" x14ac:dyDescent="0.25"/>
    <row r="181" spans="2:4" hidden="1" x14ac:dyDescent="0.25"/>
    <row r="182" spans="2:4" hidden="1" x14ac:dyDescent="0.25"/>
    <row r="183" spans="2:4" hidden="1" x14ac:dyDescent="0.25"/>
    <row r="184" spans="2:4" hidden="1" x14ac:dyDescent="0.25"/>
    <row r="185" spans="2:4" hidden="1" x14ac:dyDescent="0.25"/>
    <row r="186" spans="2:4" hidden="1" x14ac:dyDescent="0.25"/>
    <row r="187" spans="2:4" hidden="1" x14ac:dyDescent="0.25"/>
    <row r="188" spans="2:4" hidden="1" x14ac:dyDescent="0.25"/>
    <row r="189" spans="2:4" hidden="1" x14ac:dyDescent="0.25"/>
    <row r="190" spans="2:4" hidden="1" x14ac:dyDescent="0.25"/>
    <row r="191" spans="2:4" hidden="1" x14ac:dyDescent="0.25"/>
    <row r="192" spans="2:4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01" hidden="1" x14ac:dyDescent="0.25"/>
    <row r="202" hidden="1" x14ac:dyDescent="0.25"/>
    <row r="203" hidden="1" x14ac:dyDescent="0.25"/>
    <row r="204" hidden="1" x14ac:dyDescent="0.25"/>
    <row r="205" hidden="1" x14ac:dyDescent="0.25"/>
    <row r="206" hidden="1" x14ac:dyDescent="0.25"/>
    <row r="207" hidden="1" x14ac:dyDescent="0.25"/>
    <row r="208" hidden="1" x14ac:dyDescent="0.25"/>
    <row r="209" hidden="1" x14ac:dyDescent="0.25"/>
    <row r="210" hidden="1" x14ac:dyDescent="0.25"/>
    <row r="211" hidden="1" x14ac:dyDescent="0.25"/>
    <row r="212" hidden="1" x14ac:dyDescent="0.25"/>
    <row r="213" hidden="1" x14ac:dyDescent="0.25"/>
    <row r="214" hidden="1" x14ac:dyDescent="0.25"/>
    <row r="215" hidden="1" x14ac:dyDescent="0.25"/>
    <row r="216" hidden="1" x14ac:dyDescent="0.25"/>
    <row r="217" hidden="1" x14ac:dyDescent="0.25"/>
    <row r="218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29" hidden="1" x14ac:dyDescent="0.25"/>
    <row r="230" hidden="1" x14ac:dyDescent="0.25"/>
    <row r="231" hidden="1" x14ac:dyDescent="0.25"/>
    <row r="232" hidden="1" x14ac:dyDescent="0.25"/>
    <row r="233" hidden="1" x14ac:dyDescent="0.25"/>
    <row r="234" hidden="1" x14ac:dyDescent="0.25"/>
    <row r="235" hidden="1" x14ac:dyDescent="0.25"/>
    <row r="236" hidden="1" x14ac:dyDescent="0.25"/>
    <row r="237" hidden="1" x14ac:dyDescent="0.25"/>
    <row r="238" hidden="1" x14ac:dyDescent="0.25"/>
    <row r="239" hidden="1" x14ac:dyDescent="0.25"/>
    <row r="240" hidden="1" x14ac:dyDescent="0.25"/>
    <row r="241" hidden="1" x14ac:dyDescent="0.25"/>
    <row r="242" hidden="1" x14ac:dyDescent="0.25"/>
    <row r="243" hidden="1" x14ac:dyDescent="0.25"/>
    <row r="244" hidden="1" x14ac:dyDescent="0.25"/>
    <row r="245" hidden="1" x14ac:dyDescent="0.25"/>
    <row r="246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57" hidden="1" x14ac:dyDescent="0.25"/>
    <row r="258" hidden="1" x14ac:dyDescent="0.25"/>
    <row r="259" hidden="1" x14ac:dyDescent="0.25"/>
    <row r="260" hidden="1" x14ac:dyDescent="0.25"/>
    <row r="261" hidden="1" x14ac:dyDescent="0.25"/>
    <row r="262" hidden="1" x14ac:dyDescent="0.25"/>
    <row r="263" hidden="1" x14ac:dyDescent="0.25"/>
    <row r="264" hidden="1" x14ac:dyDescent="0.25"/>
    <row r="265" hidden="1" x14ac:dyDescent="0.25"/>
    <row r="266" hidden="1" x14ac:dyDescent="0.25"/>
    <row r="267" hidden="1" x14ac:dyDescent="0.25"/>
    <row r="268" hidden="1" x14ac:dyDescent="0.25"/>
    <row r="269" hidden="1" x14ac:dyDescent="0.25"/>
    <row r="270" hidden="1" x14ac:dyDescent="0.25"/>
    <row r="271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  <row r="280" hidden="1" x14ac:dyDescent="0.25"/>
    <row r="281" hidden="1" x14ac:dyDescent="0.25"/>
    <row r="282" hidden="1" x14ac:dyDescent="0.25"/>
    <row r="283" hidden="1" x14ac:dyDescent="0.25"/>
    <row r="284" hidden="1" x14ac:dyDescent="0.25"/>
    <row r="285" hidden="1" x14ac:dyDescent="0.25"/>
    <row r="286" hidden="1" x14ac:dyDescent="0.25"/>
    <row r="287" hidden="1" x14ac:dyDescent="0.25"/>
    <row r="288" hidden="1" x14ac:dyDescent="0.25"/>
    <row r="289" hidden="1" x14ac:dyDescent="0.25"/>
    <row r="290" hidden="1" x14ac:dyDescent="0.25"/>
    <row r="291" hidden="1" x14ac:dyDescent="0.25"/>
    <row r="292" hidden="1" x14ac:dyDescent="0.25"/>
    <row r="293" hidden="1" x14ac:dyDescent="0.25"/>
    <row r="294" hidden="1" x14ac:dyDescent="0.25"/>
    <row r="295" hidden="1" x14ac:dyDescent="0.25"/>
    <row r="296" hidden="1" x14ac:dyDescent="0.25"/>
    <row r="297" hidden="1" x14ac:dyDescent="0.25"/>
    <row r="298" hidden="1" x14ac:dyDescent="0.25"/>
    <row r="299" hidden="1" x14ac:dyDescent="0.25"/>
    <row r="300" hidden="1" x14ac:dyDescent="0.25"/>
    <row r="301" hidden="1" x14ac:dyDescent="0.25"/>
    <row r="302" hidden="1" x14ac:dyDescent="0.25"/>
    <row r="303" hidden="1" x14ac:dyDescent="0.25"/>
    <row r="304" hidden="1" x14ac:dyDescent="0.25"/>
    <row r="305" hidden="1" x14ac:dyDescent="0.25"/>
    <row r="306" hidden="1" x14ac:dyDescent="0.25"/>
    <row r="307" hidden="1" x14ac:dyDescent="0.25"/>
    <row r="308" hidden="1" x14ac:dyDescent="0.25"/>
    <row r="309" hidden="1" x14ac:dyDescent="0.25"/>
    <row r="310" hidden="1" x14ac:dyDescent="0.25"/>
    <row r="311" hidden="1" x14ac:dyDescent="0.25"/>
    <row r="312" hidden="1" x14ac:dyDescent="0.25"/>
    <row r="313" hidden="1" x14ac:dyDescent="0.25"/>
    <row r="314" hidden="1" x14ac:dyDescent="0.25"/>
    <row r="315" hidden="1" x14ac:dyDescent="0.25"/>
    <row r="316" hidden="1" x14ac:dyDescent="0.25"/>
    <row r="317" hidden="1" x14ac:dyDescent="0.25"/>
    <row r="318" hidden="1" x14ac:dyDescent="0.25"/>
    <row r="319" hidden="1" x14ac:dyDescent="0.25"/>
    <row r="320" hidden="1" x14ac:dyDescent="0.25"/>
    <row r="321" hidden="1" x14ac:dyDescent="0.25"/>
    <row r="322" hidden="1" x14ac:dyDescent="0.25"/>
    <row r="323" hidden="1" x14ac:dyDescent="0.25"/>
    <row r="324" hidden="1" x14ac:dyDescent="0.25"/>
    <row r="325" hidden="1" x14ac:dyDescent="0.25"/>
    <row r="326" hidden="1" x14ac:dyDescent="0.25"/>
    <row r="327" hidden="1" x14ac:dyDescent="0.25"/>
    <row r="328" hidden="1" x14ac:dyDescent="0.25"/>
    <row r="329" hidden="1" x14ac:dyDescent="0.25"/>
    <row r="330" hidden="1" x14ac:dyDescent="0.25"/>
    <row r="331" hidden="1" x14ac:dyDescent="0.25"/>
    <row r="332" hidden="1" x14ac:dyDescent="0.25"/>
    <row r="333" hidden="1" x14ac:dyDescent="0.25"/>
    <row r="334" hidden="1" x14ac:dyDescent="0.25"/>
    <row r="335" hidden="1" x14ac:dyDescent="0.25"/>
    <row r="336" hidden="1" x14ac:dyDescent="0.25"/>
    <row r="337" hidden="1" x14ac:dyDescent="0.25"/>
    <row r="338" hidden="1" x14ac:dyDescent="0.25"/>
    <row r="339" hidden="1" x14ac:dyDescent="0.25"/>
    <row r="340" hidden="1" x14ac:dyDescent="0.25"/>
    <row r="341" hidden="1" x14ac:dyDescent="0.25"/>
    <row r="342" hidden="1" x14ac:dyDescent="0.25"/>
    <row r="343" hidden="1" x14ac:dyDescent="0.25"/>
    <row r="344" hidden="1" x14ac:dyDescent="0.25"/>
    <row r="345" hidden="1" x14ac:dyDescent="0.25"/>
    <row r="346" hidden="1" x14ac:dyDescent="0.25"/>
    <row r="347" hidden="1" x14ac:dyDescent="0.25"/>
    <row r="348" hidden="1" x14ac:dyDescent="0.25"/>
    <row r="349" hidden="1" x14ac:dyDescent="0.25"/>
    <row r="350" hidden="1" x14ac:dyDescent="0.25"/>
    <row r="351" hidden="1" x14ac:dyDescent="0.25"/>
    <row r="352" hidden="1" x14ac:dyDescent="0.25"/>
    <row r="353" hidden="1" x14ac:dyDescent="0.25"/>
    <row r="354" hidden="1" x14ac:dyDescent="0.25"/>
    <row r="355" hidden="1" x14ac:dyDescent="0.25"/>
    <row r="356" hidden="1" x14ac:dyDescent="0.25"/>
    <row r="357" hidden="1" x14ac:dyDescent="0.25"/>
    <row r="358" hidden="1" x14ac:dyDescent="0.25"/>
    <row r="359" hidden="1" x14ac:dyDescent="0.25"/>
    <row r="360" hidden="1" x14ac:dyDescent="0.25"/>
    <row r="361" hidden="1" x14ac:dyDescent="0.25"/>
    <row r="362" hidden="1" x14ac:dyDescent="0.25"/>
    <row r="363" hidden="1" x14ac:dyDescent="0.25"/>
    <row r="364" hidden="1" x14ac:dyDescent="0.25"/>
    <row r="365" hidden="1" x14ac:dyDescent="0.25"/>
    <row r="366" hidden="1" x14ac:dyDescent="0.25"/>
    <row r="367" hidden="1" x14ac:dyDescent="0.25"/>
    <row r="368" hidden="1" x14ac:dyDescent="0.25"/>
    <row r="369" hidden="1" x14ac:dyDescent="0.25"/>
    <row r="370" hidden="1" x14ac:dyDescent="0.25"/>
    <row r="371" hidden="1" x14ac:dyDescent="0.25"/>
    <row r="372" hidden="1" x14ac:dyDescent="0.25"/>
    <row r="373" hidden="1" x14ac:dyDescent="0.25"/>
    <row r="374" hidden="1" x14ac:dyDescent="0.25"/>
    <row r="375" hidden="1" x14ac:dyDescent="0.25"/>
    <row r="376" hidden="1" x14ac:dyDescent="0.25"/>
    <row r="377" hidden="1" x14ac:dyDescent="0.25"/>
    <row r="378" hidden="1" x14ac:dyDescent="0.25"/>
    <row r="379" hidden="1" x14ac:dyDescent="0.25"/>
    <row r="380" hidden="1" x14ac:dyDescent="0.25"/>
    <row r="381" hidden="1" x14ac:dyDescent="0.25"/>
    <row r="382" hidden="1" x14ac:dyDescent="0.25"/>
    <row r="383" hidden="1" x14ac:dyDescent="0.25"/>
    <row r="384" hidden="1" x14ac:dyDescent="0.25"/>
    <row r="385" hidden="1" x14ac:dyDescent="0.25"/>
    <row r="386" hidden="1" x14ac:dyDescent="0.25"/>
    <row r="387" hidden="1" x14ac:dyDescent="0.25"/>
    <row r="388" hidden="1" x14ac:dyDescent="0.25"/>
    <row r="389" hidden="1" x14ac:dyDescent="0.25"/>
    <row r="390" hidden="1" x14ac:dyDescent="0.25"/>
    <row r="391" hidden="1" x14ac:dyDescent="0.25"/>
    <row r="392" hidden="1" x14ac:dyDescent="0.25"/>
    <row r="393" hidden="1" x14ac:dyDescent="0.25"/>
    <row r="394" hidden="1" x14ac:dyDescent="0.25"/>
    <row r="395" hidden="1" x14ac:dyDescent="0.25"/>
    <row r="396" hidden="1" x14ac:dyDescent="0.25"/>
    <row r="397" hidden="1" x14ac:dyDescent="0.25"/>
    <row r="398" hidden="1" x14ac:dyDescent="0.25"/>
    <row r="399" hidden="1" x14ac:dyDescent="0.25"/>
    <row r="400" hidden="1" x14ac:dyDescent="0.25"/>
    <row r="401" hidden="1" x14ac:dyDescent="0.25"/>
    <row r="402" hidden="1" x14ac:dyDescent="0.25"/>
    <row r="403" hidden="1" x14ac:dyDescent="0.25"/>
    <row r="404" hidden="1" x14ac:dyDescent="0.25"/>
    <row r="405" hidden="1" x14ac:dyDescent="0.25"/>
    <row r="406" hidden="1" x14ac:dyDescent="0.25"/>
    <row r="407" hidden="1" x14ac:dyDescent="0.25"/>
    <row r="408" hidden="1" x14ac:dyDescent="0.25"/>
    <row r="409" hidden="1" x14ac:dyDescent="0.25"/>
    <row r="410" hidden="1" x14ac:dyDescent="0.25"/>
    <row r="411" hidden="1" x14ac:dyDescent="0.25"/>
    <row r="412" hidden="1" x14ac:dyDescent="0.25"/>
    <row r="413" hidden="1" x14ac:dyDescent="0.25"/>
    <row r="414" hidden="1" x14ac:dyDescent="0.25"/>
    <row r="415" hidden="1" x14ac:dyDescent="0.25"/>
    <row r="416" hidden="1" x14ac:dyDescent="0.25"/>
    <row r="417" hidden="1" x14ac:dyDescent="0.25"/>
    <row r="418" hidden="1" x14ac:dyDescent="0.25"/>
    <row r="419" hidden="1" x14ac:dyDescent="0.25"/>
    <row r="420" hidden="1" x14ac:dyDescent="0.25"/>
    <row r="421" hidden="1" x14ac:dyDescent="0.25"/>
    <row r="422" hidden="1" x14ac:dyDescent="0.25"/>
    <row r="423" hidden="1" x14ac:dyDescent="0.25"/>
    <row r="424" hidden="1" x14ac:dyDescent="0.25"/>
    <row r="425" hidden="1" x14ac:dyDescent="0.25"/>
    <row r="426" hidden="1" x14ac:dyDescent="0.25"/>
    <row r="427" hidden="1" x14ac:dyDescent="0.25"/>
    <row r="428" hidden="1" x14ac:dyDescent="0.25"/>
    <row r="429" hidden="1" x14ac:dyDescent="0.25"/>
    <row r="430" hidden="1" x14ac:dyDescent="0.25"/>
    <row r="431" hidden="1" x14ac:dyDescent="0.25"/>
    <row r="432" hidden="1" x14ac:dyDescent="0.25"/>
    <row r="433" hidden="1" x14ac:dyDescent="0.25"/>
    <row r="434" hidden="1" x14ac:dyDescent="0.25"/>
    <row r="435" hidden="1" x14ac:dyDescent="0.25"/>
    <row r="436" hidden="1" x14ac:dyDescent="0.25"/>
    <row r="437" hidden="1" x14ac:dyDescent="0.25"/>
    <row r="438" hidden="1" x14ac:dyDescent="0.25"/>
    <row r="439" hidden="1" x14ac:dyDescent="0.25"/>
    <row r="440" hidden="1" x14ac:dyDescent="0.25"/>
    <row r="441" hidden="1" x14ac:dyDescent="0.25"/>
    <row r="442" hidden="1" x14ac:dyDescent="0.25"/>
    <row r="443" hidden="1" x14ac:dyDescent="0.25"/>
    <row r="444" hidden="1" x14ac:dyDescent="0.25"/>
    <row r="445" hidden="1" x14ac:dyDescent="0.25"/>
    <row r="446" hidden="1" x14ac:dyDescent="0.25"/>
    <row r="447" hidden="1" x14ac:dyDescent="0.25"/>
    <row r="448" hidden="1" x14ac:dyDescent="0.25"/>
    <row r="449" hidden="1" x14ac:dyDescent="0.25"/>
    <row r="450" hidden="1" x14ac:dyDescent="0.25"/>
    <row r="451" hidden="1" x14ac:dyDescent="0.25"/>
    <row r="452" hidden="1" x14ac:dyDescent="0.25"/>
    <row r="453" hidden="1" x14ac:dyDescent="0.25"/>
    <row r="454" hidden="1" x14ac:dyDescent="0.25"/>
    <row r="455" hidden="1" x14ac:dyDescent="0.25"/>
    <row r="456" hidden="1" x14ac:dyDescent="0.25"/>
    <row r="457" hidden="1" x14ac:dyDescent="0.25"/>
    <row r="458" hidden="1" x14ac:dyDescent="0.25"/>
    <row r="459" hidden="1" x14ac:dyDescent="0.25"/>
    <row r="460" hidden="1" x14ac:dyDescent="0.25"/>
    <row r="461" hidden="1" x14ac:dyDescent="0.25"/>
    <row r="462" hidden="1" x14ac:dyDescent="0.25"/>
    <row r="463" hidden="1" x14ac:dyDescent="0.25"/>
    <row r="464" hidden="1" x14ac:dyDescent="0.25"/>
    <row r="465" hidden="1" x14ac:dyDescent="0.25"/>
    <row r="466" hidden="1" x14ac:dyDescent="0.25"/>
    <row r="467" hidden="1" x14ac:dyDescent="0.25"/>
    <row r="468" hidden="1" x14ac:dyDescent="0.25"/>
    <row r="469" hidden="1" x14ac:dyDescent="0.25"/>
    <row r="470" hidden="1" x14ac:dyDescent="0.25"/>
    <row r="471" hidden="1" x14ac:dyDescent="0.25"/>
    <row r="472" hidden="1" x14ac:dyDescent="0.25"/>
    <row r="473" hidden="1" x14ac:dyDescent="0.25"/>
    <row r="474" hidden="1" x14ac:dyDescent="0.25"/>
    <row r="475" hidden="1" x14ac:dyDescent="0.25"/>
    <row r="476" hidden="1" x14ac:dyDescent="0.25"/>
    <row r="477" hidden="1" x14ac:dyDescent="0.25"/>
    <row r="478" hidden="1" x14ac:dyDescent="0.25"/>
    <row r="479" hidden="1" x14ac:dyDescent="0.25"/>
    <row r="480" hidden="1" x14ac:dyDescent="0.25"/>
    <row r="481" hidden="1" x14ac:dyDescent="0.25"/>
    <row r="482" hidden="1" x14ac:dyDescent="0.25"/>
    <row r="483" hidden="1" x14ac:dyDescent="0.25"/>
    <row r="484" hidden="1" x14ac:dyDescent="0.25"/>
    <row r="485" hidden="1" x14ac:dyDescent="0.25"/>
    <row r="486" hidden="1" x14ac:dyDescent="0.25"/>
    <row r="487" hidden="1" x14ac:dyDescent="0.25"/>
    <row r="488" hidden="1" x14ac:dyDescent="0.25"/>
    <row r="489" hidden="1" x14ac:dyDescent="0.25"/>
    <row r="490" hidden="1" x14ac:dyDescent="0.25"/>
    <row r="491" hidden="1" x14ac:dyDescent="0.25"/>
    <row r="492" hidden="1" x14ac:dyDescent="0.25"/>
    <row r="493" hidden="1" x14ac:dyDescent="0.25"/>
    <row r="494" hidden="1" x14ac:dyDescent="0.25"/>
    <row r="495" hidden="1" x14ac:dyDescent="0.25"/>
    <row r="496" hidden="1" x14ac:dyDescent="0.25"/>
    <row r="497" hidden="1" x14ac:dyDescent="0.25"/>
    <row r="498" hidden="1" x14ac:dyDescent="0.25"/>
    <row r="499" hidden="1" x14ac:dyDescent="0.25"/>
    <row r="500" hidden="1" x14ac:dyDescent="0.25"/>
    <row r="501" hidden="1" x14ac:dyDescent="0.25"/>
    <row r="502" hidden="1" x14ac:dyDescent="0.25"/>
    <row r="503" hidden="1" x14ac:dyDescent="0.25"/>
    <row r="504" hidden="1" x14ac:dyDescent="0.25"/>
    <row r="505" hidden="1" x14ac:dyDescent="0.25"/>
    <row r="506" hidden="1" x14ac:dyDescent="0.25"/>
    <row r="507" hidden="1" x14ac:dyDescent="0.25"/>
    <row r="508" hidden="1" x14ac:dyDescent="0.25"/>
    <row r="509" hidden="1" x14ac:dyDescent="0.25"/>
    <row r="510" hidden="1" x14ac:dyDescent="0.25"/>
    <row r="511" hidden="1" x14ac:dyDescent="0.25"/>
    <row r="512" hidden="1" x14ac:dyDescent="0.25"/>
    <row r="513" hidden="1" x14ac:dyDescent="0.25"/>
    <row r="514" hidden="1" x14ac:dyDescent="0.25"/>
    <row r="515" hidden="1" x14ac:dyDescent="0.25"/>
    <row r="516" hidden="1" x14ac:dyDescent="0.25"/>
    <row r="517" hidden="1" x14ac:dyDescent="0.25"/>
    <row r="518" hidden="1" x14ac:dyDescent="0.25"/>
    <row r="519" hidden="1" x14ac:dyDescent="0.25"/>
    <row r="520" hidden="1" x14ac:dyDescent="0.25"/>
    <row r="521" hidden="1" x14ac:dyDescent="0.25"/>
    <row r="522" hidden="1" x14ac:dyDescent="0.25"/>
    <row r="523" hidden="1" x14ac:dyDescent="0.25"/>
    <row r="524" hidden="1" x14ac:dyDescent="0.25"/>
    <row r="525" hidden="1" x14ac:dyDescent="0.25"/>
    <row r="526" hidden="1" x14ac:dyDescent="0.25"/>
    <row r="527" hidden="1" x14ac:dyDescent="0.25"/>
    <row r="528" hidden="1" x14ac:dyDescent="0.25"/>
    <row r="529" hidden="1" x14ac:dyDescent="0.25"/>
    <row r="530" hidden="1" x14ac:dyDescent="0.25"/>
    <row r="531" hidden="1" x14ac:dyDescent="0.25"/>
    <row r="532" hidden="1" x14ac:dyDescent="0.25"/>
    <row r="533" hidden="1" x14ac:dyDescent="0.25"/>
    <row r="534" hidden="1" x14ac:dyDescent="0.25"/>
    <row r="535" hidden="1" x14ac:dyDescent="0.25"/>
    <row r="536" hidden="1" x14ac:dyDescent="0.25"/>
    <row r="537" hidden="1" x14ac:dyDescent="0.25"/>
    <row r="538" hidden="1" x14ac:dyDescent="0.25"/>
    <row r="539" hidden="1" x14ac:dyDescent="0.25"/>
    <row r="540" hidden="1" x14ac:dyDescent="0.25"/>
    <row r="541" hidden="1" x14ac:dyDescent="0.25"/>
    <row r="542" hidden="1" x14ac:dyDescent="0.25"/>
    <row r="543" hidden="1" x14ac:dyDescent="0.25"/>
    <row r="544" hidden="1" x14ac:dyDescent="0.25"/>
    <row r="545" hidden="1" x14ac:dyDescent="0.25"/>
    <row r="546" hidden="1" x14ac:dyDescent="0.25"/>
    <row r="547" hidden="1" x14ac:dyDescent="0.25"/>
    <row r="548" hidden="1" x14ac:dyDescent="0.25"/>
    <row r="549" hidden="1" x14ac:dyDescent="0.25"/>
    <row r="550" hidden="1" x14ac:dyDescent="0.25"/>
    <row r="551" hidden="1" x14ac:dyDescent="0.25"/>
    <row r="552" hidden="1" x14ac:dyDescent="0.25"/>
    <row r="553" hidden="1" x14ac:dyDescent="0.25"/>
    <row r="554" hidden="1" x14ac:dyDescent="0.25"/>
    <row r="555" hidden="1" x14ac:dyDescent="0.25"/>
    <row r="556" hidden="1" x14ac:dyDescent="0.25"/>
    <row r="557" hidden="1" x14ac:dyDescent="0.25"/>
    <row r="558" hidden="1" x14ac:dyDescent="0.25"/>
    <row r="559" hidden="1" x14ac:dyDescent="0.25"/>
    <row r="560" hidden="1" x14ac:dyDescent="0.25"/>
    <row r="561" hidden="1" x14ac:dyDescent="0.25"/>
    <row r="562" hidden="1" x14ac:dyDescent="0.25"/>
    <row r="563" hidden="1" x14ac:dyDescent="0.25"/>
    <row r="564" hidden="1" x14ac:dyDescent="0.25"/>
    <row r="565" hidden="1" x14ac:dyDescent="0.25"/>
    <row r="566" hidden="1" x14ac:dyDescent="0.25"/>
    <row r="567" hidden="1" x14ac:dyDescent="0.25"/>
    <row r="568" hidden="1" x14ac:dyDescent="0.25"/>
    <row r="569" hidden="1" x14ac:dyDescent="0.25"/>
    <row r="570" hidden="1" x14ac:dyDescent="0.25"/>
    <row r="571" hidden="1" x14ac:dyDescent="0.25"/>
    <row r="572" hidden="1" x14ac:dyDescent="0.25"/>
    <row r="573" hidden="1" x14ac:dyDescent="0.25"/>
    <row r="574" hidden="1" x14ac:dyDescent="0.25"/>
    <row r="575" hidden="1" x14ac:dyDescent="0.25"/>
    <row r="576" hidden="1" x14ac:dyDescent="0.25"/>
    <row r="577" hidden="1" x14ac:dyDescent="0.25"/>
    <row r="578" hidden="1" x14ac:dyDescent="0.25"/>
    <row r="579" hidden="1" x14ac:dyDescent="0.25"/>
    <row r="580" hidden="1" x14ac:dyDescent="0.25"/>
    <row r="581" hidden="1" x14ac:dyDescent="0.25"/>
    <row r="582" hidden="1" x14ac:dyDescent="0.25"/>
    <row r="583" hidden="1" x14ac:dyDescent="0.25"/>
    <row r="584" hidden="1" x14ac:dyDescent="0.25"/>
    <row r="585" hidden="1" x14ac:dyDescent="0.25"/>
    <row r="586" hidden="1" x14ac:dyDescent="0.25"/>
    <row r="587" hidden="1" x14ac:dyDescent="0.25"/>
    <row r="588" hidden="1" x14ac:dyDescent="0.25"/>
    <row r="589" hidden="1" x14ac:dyDescent="0.25"/>
    <row r="590" hidden="1" x14ac:dyDescent="0.25"/>
    <row r="591" hidden="1" x14ac:dyDescent="0.25"/>
    <row r="592" hidden="1" x14ac:dyDescent="0.25"/>
    <row r="593" hidden="1" x14ac:dyDescent="0.25"/>
    <row r="594" hidden="1" x14ac:dyDescent="0.25"/>
    <row r="595" hidden="1" x14ac:dyDescent="0.25"/>
    <row r="596" hidden="1" x14ac:dyDescent="0.25"/>
    <row r="597" hidden="1" x14ac:dyDescent="0.25"/>
    <row r="598" hidden="1" x14ac:dyDescent="0.25"/>
    <row r="599" hidden="1" x14ac:dyDescent="0.25"/>
    <row r="600" hidden="1" x14ac:dyDescent="0.25"/>
    <row r="601" hidden="1" x14ac:dyDescent="0.25"/>
    <row r="602" hidden="1" x14ac:dyDescent="0.25"/>
    <row r="603" hidden="1" x14ac:dyDescent="0.25"/>
    <row r="604" hidden="1" x14ac:dyDescent="0.25"/>
    <row r="605" hidden="1" x14ac:dyDescent="0.25"/>
    <row r="606" hidden="1" x14ac:dyDescent="0.25"/>
    <row r="607" hidden="1" x14ac:dyDescent="0.25"/>
    <row r="608" hidden="1" x14ac:dyDescent="0.25"/>
    <row r="609" hidden="1" x14ac:dyDescent="0.25"/>
    <row r="610" hidden="1" x14ac:dyDescent="0.25"/>
    <row r="611" hidden="1" x14ac:dyDescent="0.25"/>
    <row r="612" hidden="1" x14ac:dyDescent="0.25"/>
    <row r="613" hidden="1" x14ac:dyDescent="0.25"/>
    <row r="614" hidden="1" x14ac:dyDescent="0.25"/>
    <row r="615" hidden="1" x14ac:dyDescent="0.25"/>
    <row r="616" hidden="1" x14ac:dyDescent="0.25"/>
    <row r="617" hidden="1" x14ac:dyDescent="0.25"/>
    <row r="618" hidden="1" x14ac:dyDescent="0.25"/>
    <row r="619" hidden="1" x14ac:dyDescent="0.25"/>
    <row r="620" hidden="1" x14ac:dyDescent="0.25"/>
    <row r="621" hidden="1" x14ac:dyDescent="0.25"/>
    <row r="622" hidden="1" x14ac:dyDescent="0.25"/>
    <row r="623" hidden="1" x14ac:dyDescent="0.25"/>
    <row r="624" hidden="1" x14ac:dyDescent="0.25"/>
    <row r="625" hidden="1" x14ac:dyDescent="0.25"/>
    <row r="626" hidden="1" x14ac:dyDescent="0.25"/>
    <row r="627" hidden="1" x14ac:dyDescent="0.25"/>
    <row r="628" hidden="1" x14ac:dyDescent="0.25"/>
    <row r="629" hidden="1" x14ac:dyDescent="0.25"/>
    <row r="630" hidden="1" x14ac:dyDescent="0.25"/>
    <row r="631" hidden="1" x14ac:dyDescent="0.25"/>
    <row r="632" hidden="1" x14ac:dyDescent="0.25"/>
    <row r="633" hidden="1" x14ac:dyDescent="0.25"/>
    <row r="634" hidden="1" x14ac:dyDescent="0.25"/>
    <row r="635" hidden="1" x14ac:dyDescent="0.25"/>
    <row r="636" hidden="1" x14ac:dyDescent="0.25"/>
    <row r="637" hidden="1" x14ac:dyDescent="0.25"/>
    <row r="638" hidden="1" x14ac:dyDescent="0.25"/>
    <row r="639" hidden="1" x14ac:dyDescent="0.25"/>
    <row r="640" hidden="1" x14ac:dyDescent="0.25"/>
    <row r="641" hidden="1" x14ac:dyDescent="0.25"/>
    <row r="642" hidden="1" x14ac:dyDescent="0.25"/>
    <row r="643" hidden="1" x14ac:dyDescent="0.25"/>
    <row r="644" hidden="1" x14ac:dyDescent="0.25"/>
    <row r="645" hidden="1" x14ac:dyDescent="0.25"/>
    <row r="646" hidden="1" x14ac:dyDescent="0.25"/>
    <row r="647" hidden="1" x14ac:dyDescent="0.25"/>
    <row r="648" hidden="1" x14ac:dyDescent="0.25"/>
    <row r="649" hidden="1" x14ac:dyDescent="0.25"/>
    <row r="650" hidden="1" x14ac:dyDescent="0.25"/>
    <row r="651" hidden="1" x14ac:dyDescent="0.25"/>
    <row r="652" hidden="1" x14ac:dyDescent="0.25"/>
    <row r="653" hidden="1" x14ac:dyDescent="0.25"/>
    <row r="654" hidden="1" x14ac:dyDescent="0.25"/>
    <row r="655" hidden="1" x14ac:dyDescent="0.25"/>
    <row r="656" hidden="1" x14ac:dyDescent="0.25"/>
    <row r="657" hidden="1" x14ac:dyDescent="0.25"/>
    <row r="658" hidden="1" x14ac:dyDescent="0.25"/>
    <row r="659" hidden="1" x14ac:dyDescent="0.25"/>
    <row r="660" hidden="1" x14ac:dyDescent="0.25"/>
    <row r="661" hidden="1" x14ac:dyDescent="0.25"/>
    <row r="662" hidden="1" x14ac:dyDescent="0.25"/>
    <row r="663" hidden="1" x14ac:dyDescent="0.25"/>
    <row r="664" hidden="1" x14ac:dyDescent="0.25"/>
    <row r="665" hidden="1" x14ac:dyDescent="0.25"/>
    <row r="666" hidden="1" x14ac:dyDescent="0.25"/>
    <row r="667" hidden="1" x14ac:dyDescent="0.25"/>
    <row r="668" hidden="1" x14ac:dyDescent="0.25"/>
    <row r="669" hidden="1" x14ac:dyDescent="0.25"/>
    <row r="670" hidden="1" x14ac:dyDescent="0.25"/>
    <row r="671" hidden="1" x14ac:dyDescent="0.25"/>
    <row r="672" hidden="1" x14ac:dyDescent="0.25"/>
    <row r="673" hidden="1" x14ac:dyDescent="0.25"/>
    <row r="674" hidden="1" x14ac:dyDescent="0.25"/>
    <row r="675" hidden="1" x14ac:dyDescent="0.25"/>
    <row r="676" hidden="1" x14ac:dyDescent="0.25"/>
    <row r="677" hidden="1" x14ac:dyDescent="0.25"/>
    <row r="678" hidden="1" x14ac:dyDescent="0.25"/>
    <row r="679" hidden="1" x14ac:dyDescent="0.25"/>
    <row r="680" hidden="1" x14ac:dyDescent="0.25"/>
    <row r="681" hidden="1" x14ac:dyDescent="0.25"/>
    <row r="682" hidden="1" x14ac:dyDescent="0.25"/>
    <row r="683" hidden="1" x14ac:dyDescent="0.25"/>
    <row r="684" hidden="1" x14ac:dyDescent="0.25"/>
    <row r="685" hidden="1" x14ac:dyDescent="0.25"/>
    <row r="686" hidden="1" x14ac:dyDescent="0.25"/>
    <row r="687" hidden="1" x14ac:dyDescent="0.25"/>
    <row r="688" hidden="1" x14ac:dyDescent="0.25"/>
    <row r="689" hidden="1" x14ac:dyDescent="0.25"/>
    <row r="690" hidden="1" x14ac:dyDescent="0.25"/>
    <row r="691" hidden="1" x14ac:dyDescent="0.25"/>
    <row r="692" hidden="1" x14ac:dyDescent="0.25"/>
    <row r="693" hidden="1" x14ac:dyDescent="0.25"/>
    <row r="694" hidden="1" x14ac:dyDescent="0.25"/>
    <row r="695" hidden="1" x14ac:dyDescent="0.25"/>
    <row r="696" hidden="1" x14ac:dyDescent="0.25"/>
    <row r="697" hidden="1" x14ac:dyDescent="0.25"/>
    <row r="698" hidden="1" x14ac:dyDescent="0.25"/>
    <row r="699" hidden="1" x14ac:dyDescent="0.25"/>
    <row r="700" hidden="1" x14ac:dyDescent="0.25"/>
    <row r="701" hidden="1" x14ac:dyDescent="0.25"/>
    <row r="702" hidden="1" x14ac:dyDescent="0.25"/>
    <row r="703" hidden="1" x14ac:dyDescent="0.25"/>
    <row r="704" hidden="1" x14ac:dyDescent="0.25"/>
    <row r="705" hidden="1" x14ac:dyDescent="0.25"/>
    <row r="706" hidden="1" x14ac:dyDescent="0.25"/>
    <row r="707" hidden="1" x14ac:dyDescent="0.25"/>
    <row r="708" hidden="1" x14ac:dyDescent="0.25"/>
    <row r="709" hidden="1" x14ac:dyDescent="0.25"/>
    <row r="710" hidden="1" x14ac:dyDescent="0.25"/>
    <row r="711" hidden="1" x14ac:dyDescent="0.25"/>
    <row r="712" hidden="1" x14ac:dyDescent="0.25"/>
    <row r="713" hidden="1" x14ac:dyDescent="0.25"/>
    <row r="714" hidden="1" x14ac:dyDescent="0.25"/>
    <row r="715" hidden="1" x14ac:dyDescent="0.25"/>
    <row r="716" hidden="1" x14ac:dyDescent="0.25"/>
    <row r="717" hidden="1" x14ac:dyDescent="0.25"/>
    <row r="718" hidden="1" x14ac:dyDescent="0.25"/>
    <row r="719" hidden="1" x14ac:dyDescent="0.25"/>
    <row r="720" hidden="1" x14ac:dyDescent="0.25"/>
    <row r="721" hidden="1" x14ac:dyDescent="0.25"/>
    <row r="722" hidden="1" x14ac:dyDescent="0.25"/>
    <row r="723" hidden="1" x14ac:dyDescent="0.25"/>
    <row r="724" hidden="1" x14ac:dyDescent="0.25"/>
    <row r="725" hidden="1" x14ac:dyDescent="0.25"/>
    <row r="726" hidden="1" x14ac:dyDescent="0.25"/>
    <row r="727" hidden="1" x14ac:dyDescent="0.25"/>
    <row r="728" hidden="1" x14ac:dyDescent="0.25"/>
    <row r="729" hidden="1" x14ac:dyDescent="0.25"/>
    <row r="730" hidden="1" x14ac:dyDescent="0.25"/>
    <row r="731" hidden="1" x14ac:dyDescent="0.25"/>
    <row r="732" hidden="1" x14ac:dyDescent="0.25"/>
    <row r="733" hidden="1" x14ac:dyDescent="0.25"/>
    <row r="734" hidden="1" x14ac:dyDescent="0.25"/>
    <row r="735" hidden="1" x14ac:dyDescent="0.25"/>
    <row r="736" hidden="1" x14ac:dyDescent="0.25"/>
    <row r="737" hidden="1" x14ac:dyDescent="0.25"/>
    <row r="738" hidden="1" x14ac:dyDescent="0.25"/>
    <row r="739" hidden="1" x14ac:dyDescent="0.25"/>
    <row r="740" hidden="1" x14ac:dyDescent="0.25"/>
    <row r="741" hidden="1" x14ac:dyDescent="0.25"/>
    <row r="742" hidden="1" x14ac:dyDescent="0.25"/>
    <row r="743" hidden="1" x14ac:dyDescent="0.25"/>
    <row r="744" hidden="1" x14ac:dyDescent="0.25"/>
    <row r="745" hidden="1" x14ac:dyDescent="0.25"/>
    <row r="746" hidden="1" x14ac:dyDescent="0.25"/>
    <row r="747" hidden="1" x14ac:dyDescent="0.25"/>
    <row r="748" hidden="1" x14ac:dyDescent="0.25"/>
    <row r="749" hidden="1" x14ac:dyDescent="0.25"/>
    <row r="750" hidden="1" x14ac:dyDescent="0.25"/>
    <row r="751" hidden="1" x14ac:dyDescent="0.25"/>
    <row r="752" hidden="1" x14ac:dyDescent="0.25"/>
    <row r="753" hidden="1" x14ac:dyDescent="0.25"/>
    <row r="754" hidden="1" x14ac:dyDescent="0.25"/>
    <row r="755" hidden="1" x14ac:dyDescent="0.25"/>
    <row r="756" hidden="1" x14ac:dyDescent="0.25"/>
    <row r="757" hidden="1" x14ac:dyDescent="0.25"/>
    <row r="758" hidden="1" x14ac:dyDescent="0.25"/>
    <row r="759" hidden="1" x14ac:dyDescent="0.25"/>
    <row r="760" hidden="1" x14ac:dyDescent="0.25"/>
    <row r="761" hidden="1" x14ac:dyDescent="0.25"/>
    <row r="762" hidden="1" x14ac:dyDescent="0.25"/>
    <row r="763" hidden="1" x14ac:dyDescent="0.25"/>
    <row r="764" hidden="1" x14ac:dyDescent="0.25"/>
    <row r="765" hidden="1" x14ac:dyDescent="0.25"/>
    <row r="766" hidden="1" x14ac:dyDescent="0.25"/>
    <row r="767" hidden="1" x14ac:dyDescent="0.25"/>
    <row r="768" hidden="1" x14ac:dyDescent="0.25"/>
    <row r="769" hidden="1" x14ac:dyDescent="0.25"/>
    <row r="770" hidden="1" x14ac:dyDescent="0.25"/>
    <row r="771" hidden="1" x14ac:dyDescent="0.25"/>
    <row r="772" hidden="1" x14ac:dyDescent="0.25"/>
    <row r="773" hidden="1" x14ac:dyDescent="0.25"/>
    <row r="774" hidden="1" x14ac:dyDescent="0.25"/>
    <row r="775" hidden="1" x14ac:dyDescent="0.25"/>
    <row r="776" hidden="1" x14ac:dyDescent="0.25"/>
    <row r="777" hidden="1" x14ac:dyDescent="0.25"/>
    <row r="778" hidden="1" x14ac:dyDescent="0.25"/>
    <row r="779" hidden="1" x14ac:dyDescent="0.25"/>
    <row r="780" hidden="1" x14ac:dyDescent="0.25"/>
    <row r="781" hidden="1" x14ac:dyDescent="0.25"/>
    <row r="782" hidden="1" x14ac:dyDescent="0.25"/>
    <row r="783" hidden="1" x14ac:dyDescent="0.25"/>
    <row r="784" hidden="1" x14ac:dyDescent="0.25"/>
    <row r="785" hidden="1" x14ac:dyDescent="0.25"/>
    <row r="786" hidden="1" x14ac:dyDescent="0.25"/>
    <row r="787" hidden="1" x14ac:dyDescent="0.25"/>
    <row r="788" hidden="1" x14ac:dyDescent="0.25"/>
    <row r="789" hidden="1" x14ac:dyDescent="0.25"/>
    <row r="790" hidden="1" x14ac:dyDescent="0.25"/>
    <row r="791" hidden="1" x14ac:dyDescent="0.25"/>
    <row r="792" hidden="1" x14ac:dyDescent="0.25"/>
    <row r="793" hidden="1" x14ac:dyDescent="0.25"/>
    <row r="794" hidden="1" x14ac:dyDescent="0.25"/>
    <row r="795" hidden="1" x14ac:dyDescent="0.25"/>
    <row r="796" hidden="1" x14ac:dyDescent="0.25"/>
    <row r="797" hidden="1" x14ac:dyDescent="0.25"/>
    <row r="798" hidden="1" x14ac:dyDescent="0.25"/>
    <row r="799" hidden="1" x14ac:dyDescent="0.25"/>
    <row r="800" hidden="1" x14ac:dyDescent="0.25"/>
    <row r="801" hidden="1" x14ac:dyDescent="0.25"/>
    <row r="802" hidden="1" x14ac:dyDescent="0.25"/>
    <row r="803" hidden="1" x14ac:dyDescent="0.25"/>
    <row r="804" hidden="1" x14ac:dyDescent="0.25"/>
    <row r="805" hidden="1" x14ac:dyDescent="0.25"/>
    <row r="806" hidden="1" x14ac:dyDescent="0.25"/>
    <row r="807" hidden="1" x14ac:dyDescent="0.25"/>
    <row r="808" hidden="1" x14ac:dyDescent="0.25"/>
    <row r="809" hidden="1" x14ac:dyDescent="0.25"/>
    <row r="810" hidden="1" x14ac:dyDescent="0.25"/>
    <row r="811" hidden="1" x14ac:dyDescent="0.25"/>
    <row r="812" hidden="1" x14ac:dyDescent="0.25"/>
    <row r="813" hidden="1" x14ac:dyDescent="0.25"/>
    <row r="814" hidden="1" x14ac:dyDescent="0.25"/>
    <row r="815" hidden="1" x14ac:dyDescent="0.25"/>
    <row r="816" hidden="1" x14ac:dyDescent="0.25"/>
    <row r="817" hidden="1" x14ac:dyDescent="0.25"/>
    <row r="818" hidden="1" x14ac:dyDescent="0.25"/>
    <row r="819" hidden="1" x14ac:dyDescent="0.25"/>
    <row r="820" hidden="1" x14ac:dyDescent="0.25"/>
    <row r="821" hidden="1" x14ac:dyDescent="0.25"/>
    <row r="822" hidden="1" x14ac:dyDescent="0.25"/>
    <row r="823" hidden="1" x14ac:dyDescent="0.25"/>
    <row r="824" hidden="1" x14ac:dyDescent="0.25"/>
    <row r="825" hidden="1" x14ac:dyDescent="0.25"/>
    <row r="826" hidden="1" x14ac:dyDescent="0.25"/>
    <row r="827" hidden="1" x14ac:dyDescent="0.25"/>
    <row r="828" hidden="1" x14ac:dyDescent="0.25"/>
    <row r="829" hidden="1" x14ac:dyDescent="0.25"/>
    <row r="830" hidden="1" x14ac:dyDescent="0.25"/>
    <row r="831" hidden="1" x14ac:dyDescent="0.25"/>
    <row r="832" hidden="1" x14ac:dyDescent="0.25"/>
    <row r="833" hidden="1" x14ac:dyDescent="0.25"/>
    <row r="834" hidden="1" x14ac:dyDescent="0.25"/>
    <row r="835" hidden="1" x14ac:dyDescent="0.25"/>
    <row r="836" hidden="1" x14ac:dyDescent="0.25"/>
    <row r="837" hidden="1" x14ac:dyDescent="0.25"/>
    <row r="838" hidden="1" x14ac:dyDescent="0.25"/>
    <row r="839" hidden="1" x14ac:dyDescent="0.25"/>
    <row r="840" hidden="1" x14ac:dyDescent="0.25"/>
    <row r="841" hidden="1" x14ac:dyDescent="0.25"/>
    <row r="842" hidden="1" x14ac:dyDescent="0.25"/>
    <row r="843" hidden="1" x14ac:dyDescent="0.25"/>
    <row r="844" hidden="1" x14ac:dyDescent="0.25"/>
    <row r="845" hidden="1" x14ac:dyDescent="0.25"/>
    <row r="846" hidden="1" x14ac:dyDescent="0.25"/>
    <row r="847" hidden="1" x14ac:dyDescent="0.25"/>
    <row r="848" hidden="1" x14ac:dyDescent="0.25"/>
    <row r="849" hidden="1" x14ac:dyDescent="0.25"/>
    <row r="850" hidden="1" x14ac:dyDescent="0.25"/>
    <row r="851" hidden="1" x14ac:dyDescent="0.25"/>
    <row r="852" hidden="1" x14ac:dyDescent="0.25"/>
    <row r="853" hidden="1" x14ac:dyDescent="0.25"/>
    <row r="854" hidden="1" x14ac:dyDescent="0.25"/>
    <row r="855" hidden="1" x14ac:dyDescent="0.25"/>
    <row r="856" hidden="1" x14ac:dyDescent="0.25"/>
    <row r="857" hidden="1" x14ac:dyDescent="0.25"/>
    <row r="858" hidden="1" x14ac:dyDescent="0.25"/>
    <row r="859" hidden="1" x14ac:dyDescent="0.25"/>
    <row r="860" hidden="1" x14ac:dyDescent="0.25"/>
    <row r="861" hidden="1" x14ac:dyDescent="0.25"/>
    <row r="862" hidden="1" x14ac:dyDescent="0.25"/>
    <row r="863" hidden="1" x14ac:dyDescent="0.25"/>
    <row r="864" hidden="1" x14ac:dyDescent="0.25"/>
    <row r="865" hidden="1" x14ac:dyDescent="0.25"/>
    <row r="866" hidden="1" x14ac:dyDescent="0.25"/>
    <row r="867" hidden="1" x14ac:dyDescent="0.25"/>
    <row r="868" hidden="1" x14ac:dyDescent="0.25"/>
    <row r="869" hidden="1" x14ac:dyDescent="0.25"/>
    <row r="870" hidden="1" x14ac:dyDescent="0.25"/>
    <row r="871" hidden="1" x14ac:dyDescent="0.25"/>
    <row r="872" hidden="1" x14ac:dyDescent="0.25"/>
    <row r="873" hidden="1" x14ac:dyDescent="0.25"/>
    <row r="874" hidden="1" x14ac:dyDescent="0.25"/>
    <row r="875" hidden="1" x14ac:dyDescent="0.25"/>
    <row r="876" hidden="1" x14ac:dyDescent="0.25"/>
    <row r="877" hidden="1" x14ac:dyDescent="0.25"/>
    <row r="878" hidden="1" x14ac:dyDescent="0.25"/>
    <row r="879" hidden="1" x14ac:dyDescent="0.25"/>
    <row r="880" hidden="1" x14ac:dyDescent="0.25"/>
    <row r="881" hidden="1" x14ac:dyDescent="0.25"/>
    <row r="882" hidden="1" x14ac:dyDescent="0.25"/>
    <row r="883" hidden="1" x14ac:dyDescent="0.25"/>
    <row r="884" hidden="1" x14ac:dyDescent="0.25"/>
    <row r="885" hidden="1" x14ac:dyDescent="0.25"/>
    <row r="886" hidden="1" x14ac:dyDescent="0.25"/>
    <row r="887" hidden="1" x14ac:dyDescent="0.25"/>
    <row r="888" hidden="1" x14ac:dyDescent="0.25"/>
    <row r="889" hidden="1" x14ac:dyDescent="0.25"/>
    <row r="890" hidden="1" x14ac:dyDescent="0.25"/>
    <row r="891" hidden="1" x14ac:dyDescent="0.25"/>
    <row r="892" hidden="1" x14ac:dyDescent="0.25"/>
    <row r="893" hidden="1" x14ac:dyDescent="0.25"/>
    <row r="894" hidden="1" x14ac:dyDescent="0.25"/>
    <row r="895" hidden="1" x14ac:dyDescent="0.25"/>
    <row r="896" hidden="1" x14ac:dyDescent="0.25"/>
    <row r="897" hidden="1" x14ac:dyDescent="0.25"/>
    <row r="898" hidden="1" x14ac:dyDescent="0.25"/>
    <row r="899" hidden="1" x14ac:dyDescent="0.25"/>
    <row r="900" hidden="1" x14ac:dyDescent="0.25"/>
    <row r="901" hidden="1" x14ac:dyDescent="0.25"/>
    <row r="902" hidden="1" x14ac:dyDescent="0.25"/>
    <row r="903" hidden="1" x14ac:dyDescent="0.25"/>
    <row r="904" hidden="1" x14ac:dyDescent="0.25"/>
    <row r="905" hidden="1" x14ac:dyDescent="0.25"/>
    <row r="906" hidden="1" x14ac:dyDescent="0.25"/>
    <row r="907" hidden="1" x14ac:dyDescent="0.25"/>
    <row r="908" hidden="1" x14ac:dyDescent="0.25"/>
    <row r="909" hidden="1" x14ac:dyDescent="0.25"/>
    <row r="910" hidden="1" x14ac:dyDescent="0.25"/>
    <row r="911" hidden="1" x14ac:dyDescent="0.25"/>
    <row r="912" hidden="1" x14ac:dyDescent="0.25"/>
    <row r="913" hidden="1" x14ac:dyDescent="0.25"/>
    <row r="914" hidden="1" x14ac:dyDescent="0.25"/>
    <row r="915" hidden="1" x14ac:dyDescent="0.25"/>
    <row r="916" hidden="1" x14ac:dyDescent="0.25"/>
    <row r="917" hidden="1" x14ac:dyDescent="0.25"/>
    <row r="918" hidden="1" x14ac:dyDescent="0.25"/>
    <row r="919" hidden="1" x14ac:dyDescent="0.25"/>
    <row r="920" hidden="1" x14ac:dyDescent="0.25"/>
    <row r="921" hidden="1" x14ac:dyDescent="0.25"/>
    <row r="922" hidden="1" x14ac:dyDescent="0.25"/>
    <row r="923" hidden="1" x14ac:dyDescent="0.25"/>
    <row r="924" hidden="1" x14ac:dyDescent="0.25"/>
    <row r="925" hidden="1" x14ac:dyDescent="0.25"/>
    <row r="926" hidden="1" x14ac:dyDescent="0.25"/>
    <row r="927" hidden="1" x14ac:dyDescent="0.25"/>
    <row r="928" hidden="1" x14ac:dyDescent="0.25"/>
    <row r="929" hidden="1" x14ac:dyDescent="0.25"/>
    <row r="930" hidden="1" x14ac:dyDescent="0.25"/>
    <row r="931" hidden="1" x14ac:dyDescent="0.25"/>
    <row r="932" hidden="1" x14ac:dyDescent="0.25"/>
    <row r="933" hidden="1" x14ac:dyDescent="0.25"/>
    <row r="934" hidden="1" x14ac:dyDescent="0.25"/>
    <row r="935" hidden="1" x14ac:dyDescent="0.25"/>
    <row r="936" hidden="1" x14ac:dyDescent="0.25"/>
    <row r="937" hidden="1" x14ac:dyDescent="0.25"/>
    <row r="938" hidden="1" x14ac:dyDescent="0.25"/>
    <row r="939" hidden="1" x14ac:dyDescent="0.25"/>
    <row r="940" hidden="1" x14ac:dyDescent="0.25"/>
    <row r="941" hidden="1" x14ac:dyDescent="0.25"/>
    <row r="942" hidden="1" x14ac:dyDescent="0.25"/>
    <row r="943" hidden="1" x14ac:dyDescent="0.25"/>
    <row r="944" hidden="1" x14ac:dyDescent="0.25"/>
    <row r="945" hidden="1" x14ac:dyDescent="0.25"/>
    <row r="946" hidden="1" x14ac:dyDescent="0.25"/>
    <row r="947" hidden="1" x14ac:dyDescent="0.25"/>
    <row r="948" hidden="1" x14ac:dyDescent="0.25"/>
    <row r="949" hidden="1" x14ac:dyDescent="0.25"/>
    <row r="950" hidden="1" x14ac:dyDescent="0.25"/>
    <row r="951" hidden="1" x14ac:dyDescent="0.25"/>
    <row r="952" hidden="1" x14ac:dyDescent="0.25"/>
    <row r="953" hidden="1" x14ac:dyDescent="0.25"/>
    <row r="954" hidden="1" x14ac:dyDescent="0.25"/>
    <row r="955" hidden="1" x14ac:dyDescent="0.25"/>
    <row r="956" hidden="1" x14ac:dyDescent="0.25"/>
    <row r="957" hidden="1" x14ac:dyDescent="0.25"/>
    <row r="958" hidden="1" x14ac:dyDescent="0.25"/>
    <row r="959" hidden="1" x14ac:dyDescent="0.25"/>
    <row r="960" hidden="1" x14ac:dyDescent="0.25"/>
    <row r="961" hidden="1" x14ac:dyDescent="0.25"/>
    <row r="962" hidden="1" x14ac:dyDescent="0.25"/>
    <row r="963" hidden="1" x14ac:dyDescent="0.25"/>
    <row r="964" hidden="1" x14ac:dyDescent="0.25"/>
    <row r="965" hidden="1" x14ac:dyDescent="0.25"/>
    <row r="966" hidden="1" x14ac:dyDescent="0.25"/>
    <row r="967" hidden="1" x14ac:dyDescent="0.25"/>
    <row r="968" hidden="1" x14ac:dyDescent="0.25"/>
    <row r="969" hidden="1" x14ac:dyDescent="0.25"/>
    <row r="970" hidden="1" x14ac:dyDescent="0.25"/>
    <row r="971" hidden="1" x14ac:dyDescent="0.25"/>
    <row r="972" hidden="1" x14ac:dyDescent="0.25"/>
    <row r="973" hidden="1" x14ac:dyDescent="0.25"/>
    <row r="974" hidden="1" x14ac:dyDescent="0.25"/>
    <row r="975" hidden="1" x14ac:dyDescent="0.25"/>
    <row r="976" hidden="1" x14ac:dyDescent="0.25"/>
    <row r="977" hidden="1" x14ac:dyDescent="0.25"/>
    <row r="978" hidden="1" x14ac:dyDescent="0.25"/>
    <row r="979" hidden="1" x14ac:dyDescent="0.25"/>
    <row r="980" hidden="1" x14ac:dyDescent="0.25"/>
    <row r="981" hidden="1" x14ac:dyDescent="0.25"/>
    <row r="982" hidden="1" x14ac:dyDescent="0.25"/>
    <row r="983" hidden="1" x14ac:dyDescent="0.25"/>
    <row r="984" hidden="1" x14ac:dyDescent="0.25"/>
    <row r="985" hidden="1" x14ac:dyDescent="0.25"/>
    <row r="986" hidden="1" x14ac:dyDescent="0.25"/>
    <row r="987" hidden="1" x14ac:dyDescent="0.25"/>
    <row r="988" hidden="1" x14ac:dyDescent="0.25"/>
    <row r="989" hidden="1" x14ac:dyDescent="0.25"/>
    <row r="990" hidden="1" x14ac:dyDescent="0.25"/>
    <row r="991" hidden="1" x14ac:dyDescent="0.25"/>
    <row r="992" hidden="1" x14ac:dyDescent="0.25"/>
    <row r="993" hidden="1" x14ac:dyDescent="0.25"/>
    <row r="994" hidden="1" x14ac:dyDescent="0.25"/>
    <row r="995" hidden="1" x14ac:dyDescent="0.25"/>
    <row r="996" hidden="1" x14ac:dyDescent="0.25"/>
    <row r="997" hidden="1" x14ac:dyDescent="0.25"/>
    <row r="998" hidden="1" x14ac:dyDescent="0.25"/>
    <row r="999" hidden="1" x14ac:dyDescent="0.25"/>
    <row r="1000" hidden="1" x14ac:dyDescent="0.25"/>
    <row r="1001" hidden="1" x14ac:dyDescent="0.25"/>
    <row r="1002" hidden="1" x14ac:dyDescent="0.25"/>
    <row r="1003" hidden="1" x14ac:dyDescent="0.25"/>
    <row r="1004" hidden="1" x14ac:dyDescent="0.25"/>
    <row r="1005" hidden="1" x14ac:dyDescent="0.25"/>
    <row r="1006" hidden="1" x14ac:dyDescent="0.25"/>
    <row r="1007" hidden="1" x14ac:dyDescent="0.25"/>
    <row r="1008" hidden="1" x14ac:dyDescent="0.25"/>
    <row r="1009" hidden="1" x14ac:dyDescent="0.25"/>
    <row r="1010" hidden="1" x14ac:dyDescent="0.25"/>
    <row r="1011" hidden="1" x14ac:dyDescent="0.25"/>
    <row r="1012" hidden="1" x14ac:dyDescent="0.25"/>
    <row r="1013" hidden="1" x14ac:dyDescent="0.25"/>
    <row r="1014" hidden="1" x14ac:dyDescent="0.25"/>
    <row r="1015" hidden="1" x14ac:dyDescent="0.25"/>
    <row r="1016" hidden="1" x14ac:dyDescent="0.25"/>
    <row r="1017" hidden="1" x14ac:dyDescent="0.25"/>
    <row r="1018" hidden="1" x14ac:dyDescent="0.25"/>
    <row r="1019" hidden="1" x14ac:dyDescent="0.25"/>
    <row r="1020" hidden="1" x14ac:dyDescent="0.25"/>
    <row r="1021" hidden="1" x14ac:dyDescent="0.25"/>
    <row r="1022" hidden="1" x14ac:dyDescent="0.25"/>
    <row r="1023" hidden="1" x14ac:dyDescent="0.25"/>
    <row r="1024" hidden="1" x14ac:dyDescent="0.25"/>
    <row r="1025" hidden="1" x14ac:dyDescent="0.25"/>
    <row r="1026" hidden="1" x14ac:dyDescent="0.25"/>
    <row r="1027" hidden="1" x14ac:dyDescent="0.25"/>
    <row r="1028" hidden="1" x14ac:dyDescent="0.25"/>
    <row r="1029" hidden="1" x14ac:dyDescent="0.25"/>
    <row r="1030" hidden="1" x14ac:dyDescent="0.25"/>
    <row r="1031" hidden="1" x14ac:dyDescent="0.25"/>
    <row r="1032" hidden="1" x14ac:dyDescent="0.25"/>
    <row r="1033" hidden="1" x14ac:dyDescent="0.25"/>
    <row r="1034" hidden="1" x14ac:dyDescent="0.25"/>
    <row r="1035" hidden="1" x14ac:dyDescent="0.25"/>
    <row r="1036" hidden="1" x14ac:dyDescent="0.25"/>
    <row r="1037" hidden="1" x14ac:dyDescent="0.25"/>
    <row r="1038" hidden="1" x14ac:dyDescent="0.25"/>
    <row r="1039" hidden="1" x14ac:dyDescent="0.25"/>
    <row r="1040" hidden="1" x14ac:dyDescent="0.25"/>
    <row r="1041" hidden="1" x14ac:dyDescent="0.25"/>
    <row r="1042" hidden="1" x14ac:dyDescent="0.25"/>
    <row r="1043" hidden="1" x14ac:dyDescent="0.25"/>
    <row r="1044" hidden="1" x14ac:dyDescent="0.25"/>
    <row r="1045" hidden="1" x14ac:dyDescent="0.25"/>
    <row r="1046" hidden="1" x14ac:dyDescent="0.25"/>
    <row r="1047" hidden="1" x14ac:dyDescent="0.25"/>
    <row r="1048" hidden="1" x14ac:dyDescent="0.25"/>
    <row r="1049" hidden="1" x14ac:dyDescent="0.25"/>
    <row r="1050" hidden="1" x14ac:dyDescent="0.25"/>
    <row r="1051" hidden="1" x14ac:dyDescent="0.25"/>
    <row r="1052" hidden="1" x14ac:dyDescent="0.25"/>
    <row r="1053" hidden="1" x14ac:dyDescent="0.25"/>
    <row r="1054" hidden="1" x14ac:dyDescent="0.25"/>
    <row r="1055" hidden="1" x14ac:dyDescent="0.25"/>
    <row r="1056" hidden="1" x14ac:dyDescent="0.25"/>
    <row r="1057" hidden="1" x14ac:dyDescent="0.25"/>
    <row r="1058" hidden="1" x14ac:dyDescent="0.25"/>
    <row r="1059" hidden="1" x14ac:dyDescent="0.25"/>
    <row r="1060" hidden="1" x14ac:dyDescent="0.25"/>
    <row r="1061" hidden="1" x14ac:dyDescent="0.25"/>
    <row r="1062" hidden="1" x14ac:dyDescent="0.25"/>
    <row r="1063" hidden="1" x14ac:dyDescent="0.25"/>
    <row r="1064" hidden="1" x14ac:dyDescent="0.25"/>
    <row r="1065" hidden="1" x14ac:dyDescent="0.25"/>
    <row r="1066" hidden="1" x14ac:dyDescent="0.25"/>
    <row r="1067" hidden="1" x14ac:dyDescent="0.25"/>
    <row r="1068" hidden="1" x14ac:dyDescent="0.25"/>
    <row r="1069" hidden="1" x14ac:dyDescent="0.25"/>
    <row r="1070" hidden="1" x14ac:dyDescent="0.25"/>
    <row r="1071" hidden="1" x14ac:dyDescent="0.25"/>
    <row r="1072" hidden="1" x14ac:dyDescent="0.25"/>
    <row r="1073" hidden="1" x14ac:dyDescent="0.25"/>
    <row r="1074" hidden="1" x14ac:dyDescent="0.25"/>
    <row r="1075" hidden="1" x14ac:dyDescent="0.25"/>
    <row r="1076" hidden="1" x14ac:dyDescent="0.25"/>
    <row r="1077" hidden="1" x14ac:dyDescent="0.25"/>
    <row r="1078" hidden="1" x14ac:dyDescent="0.25"/>
    <row r="1079" hidden="1" x14ac:dyDescent="0.25"/>
    <row r="1080" hidden="1" x14ac:dyDescent="0.25"/>
    <row r="1081" hidden="1" x14ac:dyDescent="0.25"/>
    <row r="1082" hidden="1" x14ac:dyDescent="0.25"/>
    <row r="1083" hidden="1" x14ac:dyDescent="0.25"/>
    <row r="1084" hidden="1" x14ac:dyDescent="0.25"/>
    <row r="1085" hidden="1" x14ac:dyDescent="0.25"/>
    <row r="1086" hidden="1" x14ac:dyDescent="0.25"/>
    <row r="1087" hidden="1" x14ac:dyDescent="0.25"/>
    <row r="1088" hidden="1" x14ac:dyDescent="0.25"/>
    <row r="1089" hidden="1" x14ac:dyDescent="0.25"/>
    <row r="1090" hidden="1" x14ac:dyDescent="0.25"/>
    <row r="1091" hidden="1" x14ac:dyDescent="0.25"/>
    <row r="1092" hidden="1" x14ac:dyDescent="0.25"/>
    <row r="1093" hidden="1" x14ac:dyDescent="0.25"/>
    <row r="1094" hidden="1" x14ac:dyDescent="0.25"/>
    <row r="1095" hidden="1" x14ac:dyDescent="0.25"/>
    <row r="1096" hidden="1" x14ac:dyDescent="0.25"/>
    <row r="1097" hidden="1" x14ac:dyDescent="0.25"/>
    <row r="1098" hidden="1" x14ac:dyDescent="0.25"/>
    <row r="1099" hidden="1" x14ac:dyDescent="0.25"/>
    <row r="1100" hidden="1" x14ac:dyDescent="0.25"/>
    <row r="1101" hidden="1" x14ac:dyDescent="0.25"/>
    <row r="1102" hidden="1" x14ac:dyDescent="0.25"/>
    <row r="1103" hidden="1" x14ac:dyDescent="0.25"/>
    <row r="1104" hidden="1" x14ac:dyDescent="0.25"/>
    <row r="1105" hidden="1" x14ac:dyDescent="0.25"/>
    <row r="1106" hidden="1" x14ac:dyDescent="0.25"/>
    <row r="1107" hidden="1" x14ac:dyDescent="0.25"/>
    <row r="1108" hidden="1" x14ac:dyDescent="0.25"/>
    <row r="1109" hidden="1" x14ac:dyDescent="0.25"/>
    <row r="1110" hidden="1" x14ac:dyDescent="0.25"/>
    <row r="1111" hidden="1" x14ac:dyDescent="0.25"/>
    <row r="1112" hidden="1" x14ac:dyDescent="0.25"/>
    <row r="1113" hidden="1" x14ac:dyDescent="0.25"/>
    <row r="1114" hidden="1" x14ac:dyDescent="0.25"/>
    <row r="1115" hidden="1" x14ac:dyDescent="0.25"/>
    <row r="1116" hidden="1" x14ac:dyDescent="0.25"/>
    <row r="1117" hidden="1" x14ac:dyDescent="0.25"/>
    <row r="1118" hidden="1" x14ac:dyDescent="0.25"/>
    <row r="1119" hidden="1" x14ac:dyDescent="0.25"/>
    <row r="1120" hidden="1" x14ac:dyDescent="0.25"/>
    <row r="1121" hidden="1" x14ac:dyDescent="0.25"/>
    <row r="1122" hidden="1" x14ac:dyDescent="0.25"/>
    <row r="1123" hidden="1" x14ac:dyDescent="0.25"/>
    <row r="1124" hidden="1" x14ac:dyDescent="0.25"/>
    <row r="1125" hidden="1" x14ac:dyDescent="0.25"/>
    <row r="1126" hidden="1" x14ac:dyDescent="0.25"/>
    <row r="1127" hidden="1" x14ac:dyDescent="0.25"/>
    <row r="1128" hidden="1" x14ac:dyDescent="0.25"/>
    <row r="1129" hidden="1" x14ac:dyDescent="0.25"/>
    <row r="1130" hidden="1" x14ac:dyDescent="0.25"/>
    <row r="1131" hidden="1" x14ac:dyDescent="0.25"/>
    <row r="1132" hidden="1" x14ac:dyDescent="0.25"/>
    <row r="1133" hidden="1" x14ac:dyDescent="0.25"/>
    <row r="1134" hidden="1" x14ac:dyDescent="0.25"/>
    <row r="1135" hidden="1" x14ac:dyDescent="0.25"/>
    <row r="1136" hidden="1" x14ac:dyDescent="0.25"/>
    <row r="1137" hidden="1" x14ac:dyDescent="0.25"/>
    <row r="1138" hidden="1" x14ac:dyDescent="0.25"/>
    <row r="1139" hidden="1" x14ac:dyDescent="0.25"/>
    <row r="1140" hidden="1" x14ac:dyDescent="0.25"/>
    <row r="1141" hidden="1" x14ac:dyDescent="0.25"/>
    <row r="1142" hidden="1" x14ac:dyDescent="0.25"/>
    <row r="1143" hidden="1" x14ac:dyDescent="0.25"/>
    <row r="1144" hidden="1" x14ac:dyDescent="0.25"/>
    <row r="1145" hidden="1" x14ac:dyDescent="0.25"/>
    <row r="1146" hidden="1" x14ac:dyDescent="0.25"/>
    <row r="1147" hidden="1" x14ac:dyDescent="0.25"/>
    <row r="1148" hidden="1" x14ac:dyDescent="0.25"/>
    <row r="1149" hidden="1" x14ac:dyDescent="0.25"/>
    <row r="1150" hidden="1" x14ac:dyDescent="0.25"/>
    <row r="1151" hidden="1" x14ac:dyDescent="0.25"/>
    <row r="1152" hidden="1" x14ac:dyDescent="0.25"/>
    <row r="1153" hidden="1" x14ac:dyDescent="0.25"/>
    <row r="1154" hidden="1" x14ac:dyDescent="0.25"/>
    <row r="1155" hidden="1" x14ac:dyDescent="0.25"/>
    <row r="1156" hidden="1" x14ac:dyDescent="0.25"/>
    <row r="1157" hidden="1" x14ac:dyDescent="0.25"/>
    <row r="1158" hidden="1" x14ac:dyDescent="0.25"/>
    <row r="1159" hidden="1" x14ac:dyDescent="0.25"/>
    <row r="1160" hidden="1" x14ac:dyDescent="0.25"/>
    <row r="1161" hidden="1" x14ac:dyDescent="0.25"/>
    <row r="1162" hidden="1" x14ac:dyDescent="0.25"/>
    <row r="1163" hidden="1" x14ac:dyDescent="0.25"/>
    <row r="1164" hidden="1" x14ac:dyDescent="0.25"/>
    <row r="1165" hidden="1" x14ac:dyDescent="0.25"/>
    <row r="1166" hidden="1" x14ac:dyDescent="0.25"/>
    <row r="1167" hidden="1" x14ac:dyDescent="0.25"/>
    <row r="1168" hidden="1" x14ac:dyDescent="0.25"/>
    <row r="1169" hidden="1" x14ac:dyDescent="0.25"/>
    <row r="1170" hidden="1" x14ac:dyDescent="0.25"/>
    <row r="1171" hidden="1" x14ac:dyDescent="0.25"/>
    <row r="1172" hidden="1" x14ac:dyDescent="0.25"/>
    <row r="1173" hidden="1" x14ac:dyDescent="0.25"/>
    <row r="1174" hidden="1" x14ac:dyDescent="0.25"/>
    <row r="1175" hidden="1" x14ac:dyDescent="0.25"/>
    <row r="1176" hidden="1" x14ac:dyDescent="0.25"/>
    <row r="1177" hidden="1" x14ac:dyDescent="0.25"/>
    <row r="1178" hidden="1" x14ac:dyDescent="0.25"/>
    <row r="1179" hidden="1" x14ac:dyDescent="0.25"/>
    <row r="1180" hidden="1" x14ac:dyDescent="0.25"/>
    <row r="1181" hidden="1" x14ac:dyDescent="0.25"/>
    <row r="1182" hidden="1" x14ac:dyDescent="0.25"/>
    <row r="1183" hidden="1" x14ac:dyDescent="0.25"/>
    <row r="1184" hidden="1" x14ac:dyDescent="0.25"/>
    <row r="1185" hidden="1" x14ac:dyDescent="0.25"/>
    <row r="1186" hidden="1" x14ac:dyDescent="0.25"/>
    <row r="1187" hidden="1" x14ac:dyDescent="0.25"/>
    <row r="1188" hidden="1" x14ac:dyDescent="0.25"/>
    <row r="1189" hidden="1" x14ac:dyDescent="0.25"/>
    <row r="1190" hidden="1" x14ac:dyDescent="0.25"/>
    <row r="1191" hidden="1" x14ac:dyDescent="0.25"/>
    <row r="1192" hidden="1" x14ac:dyDescent="0.25"/>
    <row r="1193" hidden="1" x14ac:dyDescent="0.25"/>
    <row r="1194" hidden="1" x14ac:dyDescent="0.25"/>
    <row r="1195" hidden="1" x14ac:dyDescent="0.25"/>
    <row r="1196" hidden="1" x14ac:dyDescent="0.25"/>
    <row r="1197" hidden="1" x14ac:dyDescent="0.25"/>
    <row r="1198" hidden="1" x14ac:dyDescent="0.25"/>
    <row r="1199" hidden="1" x14ac:dyDescent="0.25"/>
    <row r="1200" hidden="1" x14ac:dyDescent="0.25"/>
    <row r="1201" hidden="1" x14ac:dyDescent="0.25"/>
    <row r="1202" hidden="1" x14ac:dyDescent="0.25"/>
    <row r="1203" hidden="1" x14ac:dyDescent="0.25"/>
    <row r="1204" hidden="1" x14ac:dyDescent="0.25"/>
    <row r="1205" hidden="1" x14ac:dyDescent="0.25"/>
    <row r="1206" hidden="1" x14ac:dyDescent="0.25"/>
    <row r="1207" hidden="1" x14ac:dyDescent="0.25"/>
    <row r="1208" hidden="1" x14ac:dyDescent="0.25"/>
    <row r="1209" hidden="1" x14ac:dyDescent="0.25"/>
    <row r="1210" hidden="1" x14ac:dyDescent="0.25"/>
    <row r="1211" hidden="1" x14ac:dyDescent="0.25"/>
    <row r="1212" hidden="1" x14ac:dyDescent="0.25"/>
    <row r="1213" hidden="1" x14ac:dyDescent="0.25"/>
    <row r="1214" hidden="1" x14ac:dyDescent="0.25"/>
    <row r="1215" hidden="1" x14ac:dyDescent="0.25"/>
    <row r="1216" hidden="1" x14ac:dyDescent="0.25"/>
    <row r="1217" hidden="1" x14ac:dyDescent="0.25"/>
    <row r="1218" hidden="1" x14ac:dyDescent="0.25"/>
    <row r="1219" hidden="1" x14ac:dyDescent="0.25"/>
    <row r="1220" hidden="1" x14ac:dyDescent="0.25"/>
    <row r="1221" hidden="1" x14ac:dyDescent="0.25"/>
    <row r="1222" hidden="1" x14ac:dyDescent="0.25"/>
    <row r="1223" hidden="1" x14ac:dyDescent="0.25"/>
    <row r="1224" hidden="1" x14ac:dyDescent="0.25"/>
    <row r="1225" hidden="1" x14ac:dyDescent="0.25"/>
    <row r="1226" hidden="1" x14ac:dyDescent="0.25"/>
    <row r="1227" hidden="1" x14ac:dyDescent="0.25"/>
    <row r="1228" hidden="1" x14ac:dyDescent="0.25"/>
    <row r="1229" hidden="1" x14ac:dyDescent="0.25"/>
    <row r="1230" hidden="1" x14ac:dyDescent="0.25"/>
    <row r="1231" hidden="1" x14ac:dyDescent="0.25"/>
    <row r="1232" hidden="1" x14ac:dyDescent="0.25"/>
    <row r="1233" hidden="1" x14ac:dyDescent="0.25"/>
    <row r="1234" hidden="1" x14ac:dyDescent="0.25"/>
    <row r="1235" hidden="1" x14ac:dyDescent="0.25"/>
    <row r="1236" hidden="1" x14ac:dyDescent="0.25"/>
    <row r="1237" hidden="1" x14ac:dyDescent="0.25"/>
    <row r="1238" hidden="1" x14ac:dyDescent="0.25"/>
    <row r="1239" hidden="1" x14ac:dyDescent="0.25"/>
    <row r="1240" hidden="1" x14ac:dyDescent="0.25"/>
    <row r="1241" hidden="1" x14ac:dyDescent="0.25"/>
    <row r="1242" hidden="1" x14ac:dyDescent="0.25"/>
    <row r="1243" hidden="1" x14ac:dyDescent="0.25"/>
    <row r="1244" hidden="1" x14ac:dyDescent="0.25"/>
    <row r="1245" hidden="1" x14ac:dyDescent="0.25"/>
    <row r="1246" hidden="1" x14ac:dyDescent="0.25"/>
    <row r="1247" hidden="1" x14ac:dyDescent="0.25"/>
    <row r="1248" hidden="1" x14ac:dyDescent="0.25"/>
    <row r="1249" hidden="1" x14ac:dyDescent="0.25"/>
    <row r="1250" hidden="1" x14ac:dyDescent="0.25"/>
    <row r="1251" hidden="1" x14ac:dyDescent="0.25"/>
    <row r="1252" hidden="1" x14ac:dyDescent="0.25"/>
    <row r="1253" hidden="1" x14ac:dyDescent="0.25"/>
    <row r="1254" hidden="1" x14ac:dyDescent="0.25"/>
    <row r="1255" hidden="1" x14ac:dyDescent="0.25"/>
    <row r="1256" hidden="1" x14ac:dyDescent="0.25"/>
    <row r="1257" hidden="1" x14ac:dyDescent="0.25"/>
    <row r="1258" hidden="1" x14ac:dyDescent="0.25"/>
    <row r="1259" hidden="1" x14ac:dyDescent="0.25"/>
    <row r="1260" hidden="1" x14ac:dyDescent="0.25"/>
    <row r="1261" hidden="1" x14ac:dyDescent="0.25"/>
    <row r="1262" hidden="1" x14ac:dyDescent="0.25"/>
    <row r="1263" hidden="1" x14ac:dyDescent="0.25"/>
    <row r="1264" hidden="1" x14ac:dyDescent="0.25"/>
    <row r="1265" hidden="1" x14ac:dyDescent="0.25"/>
    <row r="1266" hidden="1" x14ac:dyDescent="0.25"/>
    <row r="1267" hidden="1" x14ac:dyDescent="0.25"/>
    <row r="1268" hidden="1" x14ac:dyDescent="0.25"/>
    <row r="1269" hidden="1" x14ac:dyDescent="0.25"/>
    <row r="1270" hidden="1" x14ac:dyDescent="0.25"/>
    <row r="1271" hidden="1" x14ac:dyDescent="0.25"/>
    <row r="1272" hidden="1" x14ac:dyDescent="0.25"/>
    <row r="1273" hidden="1" x14ac:dyDescent="0.25"/>
    <row r="1274" hidden="1" x14ac:dyDescent="0.25"/>
    <row r="1275" hidden="1" x14ac:dyDescent="0.25"/>
    <row r="1276" hidden="1" x14ac:dyDescent="0.25"/>
    <row r="1277" hidden="1" x14ac:dyDescent="0.25"/>
    <row r="1278" hidden="1" x14ac:dyDescent="0.25"/>
    <row r="1279" hidden="1" x14ac:dyDescent="0.25"/>
    <row r="1280" hidden="1" x14ac:dyDescent="0.25"/>
    <row r="1281" hidden="1" x14ac:dyDescent="0.25"/>
    <row r="1282" hidden="1" x14ac:dyDescent="0.25"/>
    <row r="1283" hidden="1" x14ac:dyDescent="0.25"/>
    <row r="1284" hidden="1" x14ac:dyDescent="0.25"/>
    <row r="1285" hidden="1" x14ac:dyDescent="0.25"/>
    <row r="1286" hidden="1" x14ac:dyDescent="0.25"/>
    <row r="1287" hidden="1" x14ac:dyDescent="0.25"/>
    <row r="1288" hidden="1" x14ac:dyDescent="0.25"/>
    <row r="1289" hidden="1" x14ac:dyDescent="0.25"/>
    <row r="1290" hidden="1" x14ac:dyDescent="0.25"/>
    <row r="1291" hidden="1" x14ac:dyDescent="0.25"/>
    <row r="1292" hidden="1" x14ac:dyDescent="0.25"/>
    <row r="1293" hidden="1" x14ac:dyDescent="0.25"/>
    <row r="1294" hidden="1" x14ac:dyDescent="0.25"/>
    <row r="1295" hidden="1" x14ac:dyDescent="0.25"/>
    <row r="1296" hidden="1" x14ac:dyDescent="0.25"/>
    <row r="1297" hidden="1" x14ac:dyDescent="0.25"/>
    <row r="1298" hidden="1" x14ac:dyDescent="0.25"/>
    <row r="1299" hidden="1" x14ac:dyDescent="0.25"/>
    <row r="1300" hidden="1" x14ac:dyDescent="0.25"/>
    <row r="1301" hidden="1" x14ac:dyDescent="0.25"/>
    <row r="1302" hidden="1" x14ac:dyDescent="0.25"/>
    <row r="1303" hidden="1" x14ac:dyDescent="0.25"/>
    <row r="1304" hidden="1" x14ac:dyDescent="0.25"/>
    <row r="1305" hidden="1" x14ac:dyDescent="0.25"/>
    <row r="1306" hidden="1" x14ac:dyDescent="0.25"/>
    <row r="1307" hidden="1" x14ac:dyDescent="0.25"/>
    <row r="1308" hidden="1" x14ac:dyDescent="0.25"/>
    <row r="1309" hidden="1" x14ac:dyDescent="0.25"/>
    <row r="1310" hidden="1" x14ac:dyDescent="0.25"/>
    <row r="1311" hidden="1" x14ac:dyDescent="0.25"/>
    <row r="1312" hidden="1" x14ac:dyDescent="0.25"/>
    <row r="1313" hidden="1" x14ac:dyDescent="0.25"/>
    <row r="1314" hidden="1" x14ac:dyDescent="0.25"/>
    <row r="1315" hidden="1" x14ac:dyDescent="0.25"/>
    <row r="1316" hidden="1" x14ac:dyDescent="0.25"/>
    <row r="1317" hidden="1" x14ac:dyDescent="0.25"/>
    <row r="1318" hidden="1" x14ac:dyDescent="0.25"/>
    <row r="1319" hidden="1" x14ac:dyDescent="0.25"/>
    <row r="1320" hidden="1" x14ac:dyDescent="0.25"/>
    <row r="1321" hidden="1" x14ac:dyDescent="0.25"/>
    <row r="1322" hidden="1" x14ac:dyDescent="0.25"/>
    <row r="1323" hidden="1" x14ac:dyDescent="0.25"/>
    <row r="1324" hidden="1" x14ac:dyDescent="0.25"/>
    <row r="1325" hidden="1" x14ac:dyDescent="0.25"/>
    <row r="1326" hidden="1" x14ac:dyDescent="0.25"/>
    <row r="1327" hidden="1" x14ac:dyDescent="0.25"/>
    <row r="1328" hidden="1" x14ac:dyDescent="0.25"/>
    <row r="1329" hidden="1" x14ac:dyDescent="0.25"/>
    <row r="1330" hidden="1" x14ac:dyDescent="0.25"/>
    <row r="1331" hidden="1" x14ac:dyDescent="0.25"/>
    <row r="1332" hidden="1" x14ac:dyDescent="0.25"/>
    <row r="1333" hidden="1" x14ac:dyDescent="0.25"/>
    <row r="1334" hidden="1" x14ac:dyDescent="0.25"/>
    <row r="1335" hidden="1" x14ac:dyDescent="0.25"/>
    <row r="1336" hidden="1" x14ac:dyDescent="0.25"/>
    <row r="1337" hidden="1" x14ac:dyDescent="0.25"/>
    <row r="1338" hidden="1" x14ac:dyDescent="0.25"/>
    <row r="1339" hidden="1" x14ac:dyDescent="0.25"/>
    <row r="1340" hidden="1" x14ac:dyDescent="0.25"/>
    <row r="1341" hidden="1" x14ac:dyDescent="0.25"/>
    <row r="1342" hidden="1" x14ac:dyDescent="0.25"/>
    <row r="1343" hidden="1" x14ac:dyDescent="0.25"/>
    <row r="1344" hidden="1" x14ac:dyDescent="0.25"/>
    <row r="1345" hidden="1" x14ac:dyDescent="0.25"/>
    <row r="1346" hidden="1" x14ac:dyDescent="0.25"/>
    <row r="1347" hidden="1" x14ac:dyDescent="0.25"/>
    <row r="1348" hidden="1" x14ac:dyDescent="0.25"/>
    <row r="1349" hidden="1" x14ac:dyDescent="0.25"/>
    <row r="1350" hidden="1" x14ac:dyDescent="0.25"/>
    <row r="1351" hidden="1" x14ac:dyDescent="0.25"/>
    <row r="1352" hidden="1" x14ac:dyDescent="0.25"/>
    <row r="1353" hidden="1" x14ac:dyDescent="0.25"/>
    <row r="1354" hidden="1" x14ac:dyDescent="0.25"/>
    <row r="1355" hidden="1" x14ac:dyDescent="0.25"/>
    <row r="1356" hidden="1" x14ac:dyDescent="0.25"/>
    <row r="1357" hidden="1" x14ac:dyDescent="0.25"/>
    <row r="1358" hidden="1" x14ac:dyDescent="0.25"/>
    <row r="1359" hidden="1" x14ac:dyDescent="0.25"/>
    <row r="1360" hidden="1" x14ac:dyDescent="0.25"/>
    <row r="1361" hidden="1" x14ac:dyDescent="0.25"/>
    <row r="1362" hidden="1" x14ac:dyDescent="0.25"/>
    <row r="1363" hidden="1" x14ac:dyDescent="0.25"/>
    <row r="1364" hidden="1" x14ac:dyDescent="0.25"/>
    <row r="1365" hidden="1" x14ac:dyDescent="0.25"/>
    <row r="1366" hidden="1" x14ac:dyDescent="0.25"/>
    <row r="1367" hidden="1" x14ac:dyDescent="0.25"/>
    <row r="1368" hidden="1" x14ac:dyDescent="0.25"/>
    <row r="1369" hidden="1" x14ac:dyDescent="0.25"/>
    <row r="1370" hidden="1" x14ac:dyDescent="0.25"/>
    <row r="1371" hidden="1" x14ac:dyDescent="0.25"/>
    <row r="1372" hidden="1" x14ac:dyDescent="0.25"/>
    <row r="1373" hidden="1" x14ac:dyDescent="0.25"/>
    <row r="1374" hidden="1" x14ac:dyDescent="0.25"/>
    <row r="1375" hidden="1" x14ac:dyDescent="0.25"/>
    <row r="1376" hidden="1" x14ac:dyDescent="0.25"/>
    <row r="1377" hidden="1" x14ac:dyDescent="0.25"/>
    <row r="1378" hidden="1" x14ac:dyDescent="0.25"/>
    <row r="1379" hidden="1" x14ac:dyDescent="0.25"/>
    <row r="1380" hidden="1" x14ac:dyDescent="0.25"/>
    <row r="1381" hidden="1" x14ac:dyDescent="0.25"/>
    <row r="1382" hidden="1" x14ac:dyDescent="0.25"/>
    <row r="1383" hidden="1" x14ac:dyDescent="0.25"/>
    <row r="1384" hidden="1" x14ac:dyDescent="0.25"/>
    <row r="1385" hidden="1" x14ac:dyDescent="0.25"/>
    <row r="1386" hidden="1" x14ac:dyDescent="0.25"/>
    <row r="1387" hidden="1" x14ac:dyDescent="0.25"/>
    <row r="1388" hidden="1" x14ac:dyDescent="0.25"/>
    <row r="1389" hidden="1" x14ac:dyDescent="0.25"/>
    <row r="1390" hidden="1" x14ac:dyDescent="0.25"/>
    <row r="1391" hidden="1" x14ac:dyDescent="0.25"/>
    <row r="1392" hidden="1" x14ac:dyDescent="0.25"/>
    <row r="1393" hidden="1" x14ac:dyDescent="0.25"/>
    <row r="1394" hidden="1" x14ac:dyDescent="0.25"/>
    <row r="1395" hidden="1" x14ac:dyDescent="0.25"/>
    <row r="1396" hidden="1" x14ac:dyDescent="0.25"/>
    <row r="1397" hidden="1" x14ac:dyDescent="0.25"/>
    <row r="1398" hidden="1" x14ac:dyDescent="0.25"/>
    <row r="1399" hidden="1" x14ac:dyDescent="0.25"/>
    <row r="1400" hidden="1" x14ac:dyDescent="0.25"/>
    <row r="1401" hidden="1" x14ac:dyDescent="0.25"/>
    <row r="1402" hidden="1" x14ac:dyDescent="0.25"/>
    <row r="1403" hidden="1" x14ac:dyDescent="0.25"/>
    <row r="1404" hidden="1" x14ac:dyDescent="0.25"/>
    <row r="1405" hidden="1" x14ac:dyDescent="0.25"/>
    <row r="1406" hidden="1" x14ac:dyDescent="0.25"/>
    <row r="1407" hidden="1" x14ac:dyDescent="0.25"/>
    <row r="1408" hidden="1" x14ac:dyDescent="0.25"/>
    <row r="1409" hidden="1" x14ac:dyDescent="0.25"/>
    <row r="1410" hidden="1" x14ac:dyDescent="0.25"/>
    <row r="1411" hidden="1" x14ac:dyDescent="0.25"/>
    <row r="1412" hidden="1" x14ac:dyDescent="0.25"/>
    <row r="1413" hidden="1" x14ac:dyDescent="0.25"/>
    <row r="1414" hidden="1" x14ac:dyDescent="0.25"/>
    <row r="1415" hidden="1" x14ac:dyDescent="0.25"/>
    <row r="1416" hidden="1" x14ac:dyDescent="0.25"/>
    <row r="1417" hidden="1" x14ac:dyDescent="0.25"/>
    <row r="1418" hidden="1" x14ac:dyDescent="0.25"/>
    <row r="1419" hidden="1" x14ac:dyDescent="0.25"/>
    <row r="1420" hidden="1" x14ac:dyDescent="0.25"/>
    <row r="1421" hidden="1" x14ac:dyDescent="0.25"/>
    <row r="1422" hidden="1" x14ac:dyDescent="0.25"/>
    <row r="1423" hidden="1" x14ac:dyDescent="0.25"/>
    <row r="1424" hidden="1" x14ac:dyDescent="0.25"/>
    <row r="1425" hidden="1" x14ac:dyDescent="0.25"/>
    <row r="1426" hidden="1" x14ac:dyDescent="0.25"/>
    <row r="1427" hidden="1" x14ac:dyDescent="0.25"/>
    <row r="1428" hidden="1" x14ac:dyDescent="0.25"/>
    <row r="1429" hidden="1" x14ac:dyDescent="0.25"/>
    <row r="1430" hidden="1" x14ac:dyDescent="0.25"/>
    <row r="1431" hidden="1" x14ac:dyDescent="0.25"/>
    <row r="1432" hidden="1" x14ac:dyDescent="0.25"/>
    <row r="1433" hidden="1" x14ac:dyDescent="0.25"/>
    <row r="1434" hidden="1" x14ac:dyDescent="0.25"/>
    <row r="1435" hidden="1" x14ac:dyDescent="0.25"/>
    <row r="1436" hidden="1" x14ac:dyDescent="0.25"/>
    <row r="1437" hidden="1" x14ac:dyDescent="0.25"/>
    <row r="1438" hidden="1" x14ac:dyDescent="0.25"/>
    <row r="1439" hidden="1" x14ac:dyDescent="0.25"/>
    <row r="1440" hidden="1" x14ac:dyDescent="0.25"/>
    <row r="1441" hidden="1" x14ac:dyDescent="0.25"/>
    <row r="1442" hidden="1" x14ac:dyDescent="0.25"/>
    <row r="1443" hidden="1" x14ac:dyDescent="0.25"/>
    <row r="1444" hidden="1" x14ac:dyDescent="0.25"/>
    <row r="1445" hidden="1" x14ac:dyDescent="0.25"/>
    <row r="1446" hidden="1" x14ac:dyDescent="0.25"/>
    <row r="1447" hidden="1" x14ac:dyDescent="0.25"/>
    <row r="1448" hidden="1" x14ac:dyDescent="0.25"/>
    <row r="1449" hidden="1" x14ac:dyDescent="0.25"/>
    <row r="1450" hidden="1" x14ac:dyDescent="0.25"/>
    <row r="1451" hidden="1" x14ac:dyDescent="0.25"/>
    <row r="1452" hidden="1" x14ac:dyDescent="0.25"/>
    <row r="1453" hidden="1" x14ac:dyDescent="0.25"/>
    <row r="1454" hidden="1" x14ac:dyDescent="0.25"/>
    <row r="1455" hidden="1" x14ac:dyDescent="0.25"/>
    <row r="1456" hidden="1" x14ac:dyDescent="0.25"/>
    <row r="1457" hidden="1" x14ac:dyDescent="0.25"/>
    <row r="1458" hidden="1" x14ac:dyDescent="0.25"/>
    <row r="1459" hidden="1" x14ac:dyDescent="0.25"/>
    <row r="1460" hidden="1" x14ac:dyDescent="0.25"/>
    <row r="1461" hidden="1" x14ac:dyDescent="0.25"/>
    <row r="1462" hidden="1" x14ac:dyDescent="0.25"/>
    <row r="1463" hidden="1" x14ac:dyDescent="0.25"/>
    <row r="1464" hidden="1" x14ac:dyDescent="0.25"/>
    <row r="1465" hidden="1" x14ac:dyDescent="0.25"/>
    <row r="1466" hidden="1" x14ac:dyDescent="0.25"/>
    <row r="1467" hidden="1" x14ac:dyDescent="0.25"/>
    <row r="1468" hidden="1" x14ac:dyDescent="0.25"/>
    <row r="1469" hidden="1" x14ac:dyDescent="0.25"/>
    <row r="1470" hidden="1" x14ac:dyDescent="0.25"/>
    <row r="1471" hidden="1" x14ac:dyDescent="0.25"/>
    <row r="1472" hidden="1" x14ac:dyDescent="0.25"/>
    <row r="1473" hidden="1" x14ac:dyDescent="0.25"/>
    <row r="1474" hidden="1" x14ac:dyDescent="0.25"/>
    <row r="1475" hidden="1" x14ac:dyDescent="0.25"/>
    <row r="1476" hidden="1" x14ac:dyDescent="0.25"/>
    <row r="1477" hidden="1" x14ac:dyDescent="0.25"/>
    <row r="1478" hidden="1" x14ac:dyDescent="0.25"/>
    <row r="1479" hidden="1" x14ac:dyDescent="0.25"/>
    <row r="1480" hidden="1" x14ac:dyDescent="0.25"/>
    <row r="1481" hidden="1" x14ac:dyDescent="0.25"/>
    <row r="1482" hidden="1" x14ac:dyDescent="0.25"/>
    <row r="1483" hidden="1" x14ac:dyDescent="0.25"/>
    <row r="1484" hidden="1" x14ac:dyDescent="0.25"/>
    <row r="1485" hidden="1" x14ac:dyDescent="0.25"/>
    <row r="1486" hidden="1" x14ac:dyDescent="0.25"/>
    <row r="1487" hidden="1" x14ac:dyDescent="0.25"/>
    <row r="1488" hidden="1" x14ac:dyDescent="0.25"/>
    <row r="1489" hidden="1" x14ac:dyDescent="0.25"/>
    <row r="1490" hidden="1" x14ac:dyDescent="0.25"/>
    <row r="1491" hidden="1" x14ac:dyDescent="0.25"/>
    <row r="1492" hidden="1" x14ac:dyDescent="0.25"/>
    <row r="1493" hidden="1" x14ac:dyDescent="0.25"/>
    <row r="1494" hidden="1" x14ac:dyDescent="0.25"/>
    <row r="1495" hidden="1" x14ac:dyDescent="0.25"/>
    <row r="1496" hidden="1" x14ac:dyDescent="0.25"/>
    <row r="1497" hidden="1" x14ac:dyDescent="0.25"/>
    <row r="1498" hidden="1" x14ac:dyDescent="0.25"/>
    <row r="1499" hidden="1" x14ac:dyDescent="0.25"/>
    <row r="1500" hidden="1" x14ac:dyDescent="0.25"/>
    <row r="1501" hidden="1" x14ac:dyDescent="0.25"/>
    <row r="1502" hidden="1" x14ac:dyDescent="0.25"/>
    <row r="1503" hidden="1" x14ac:dyDescent="0.25"/>
    <row r="1504" hidden="1" x14ac:dyDescent="0.25"/>
    <row r="1505" hidden="1" x14ac:dyDescent="0.25"/>
    <row r="1506" hidden="1" x14ac:dyDescent="0.25"/>
    <row r="1507" hidden="1" x14ac:dyDescent="0.25"/>
    <row r="1508" hidden="1" x14ac:dyDescent="0.25"/>
    <row r="1509" hidden="1" x14ac:dyDescent="0.25"/>
    <row r="1510" hidden="1" x14ac:dyDescent="0.25"/>
    <row r="1511" hidden="1" x14ac:dyDescent="0.25"/>
    <row r="1512" hidden="1" x14ac:dyDescent="0.25"/>
    <row r="1513" hidden="1" x14ac:dyDescent="0.25"/>
    <row r="1514" hidden="1" x14ac:dyDescent="0.25"/>
    <row r="1515" hidden="1" x14ac:dyDescent="0.25"/>
    <row r="1516" hidden="1" x14ac:dyDescent="0.25"/>
    <row r="1517" hidden="1" x14ac:dyDescent="0.25"/>
    <row r="1518" hidden="1" x14ac:dyDescent="0.25"/>
    <row r="1519" hidden="1" x14ac:dyDescent="0.25"/>
    <row r="1520" hidden="1" x14ac:dyDescent="0.25"/>
    <row r="1521" hidden="1" x14ac:dyDescent="0.25"/>
    <row r="1522" hidden="1" x14ac:dyDescent="0.25"/>
    <row r="1523" hidden="1" x14ac:dyDescent="0.25"/>
    <row r="1524" hidden="1" x14ac:dyDescent="0.25"/>
    <row r="1525" hidden="1" x14ac:dyDescent="0.25"/>
    <row r="1526" hidden="1" x14ac:dyDescent="0.25"/>
    <row r="1527" hidden="1" x14ac:dyDescent="0.25"/>
    <row r="1528" hidden="1" x14ac:dyDescent="0.25"/>
    <row r="1529" hidden="1" x14ac:dyDescent="0.25"/>
    <row r="1530" hidden="1" x14ac:dyDescent="0.25"/>
    <row r="1531" hidden="1" x14ac:dyDescent="0.25"/>
    <row r="1532" hidden="1" x14ac:dyDescent="0.25"/>
    <row r="1533" hidden="1" x14ac:dyDescent="0.25"/>
    <row r="1534" hidden="1" x14ac:dyDescent="0.25"/>
    <row r="1535" hidden="1" x14ac:dyDescent="0.25"/>
    <row r="1536" hidden="1" x14ac:dyDescent="0.25"/>
    <row r="1537" hidden="1" x14ac:dyDescent="0.25"/>
    <row r="1538" hidden="1" x14ac:dyDescent="0.25"/>
    <row r="1539" hidden="1" x14ac:dyDescent="0.25"/>
    <row r="1540" hidden="1" x14ac:dyDescent="0.25"/>
    <row r="1541" hidden="1" x14ac:dyDescent="0.25"/>
    <row r="1542" hidden="1" x14ac:dyDescent="0.25"/>
    <row r="1543" hidden="1" x14ac:dyDescent="0.25"/>
    <row r="1544" hidden="1" x14ac:dyDescent="0.25"/>
    <row r="1545" hidden="1" x14ac:dyDescent="0.25"/>
    <row r="1546" hidden="1" x14ac:dyDescent="0.25"/>
    <row r="1547" hidden="1" x14ac:dyDescent="0.25"/>
    <row r="1548" hidden="1" x14ac:dyDescent="0.25"/>
    <row r="1549" hidden="1" x14ac:dyDescent="0.25"/>
    <row r="1550" hidden="1" x14ac:dyDescent="0.25"/>
    <row r="1551" hidden="1" x14ac:dyDescent="0.25"/>
    <row r="1552" hidden="1" x14ac:dyDescent="0.25"/>
    <row r="1553" hidden="1" x14ac:dyDescent="0.25"/>
    <row r="1554" hidden="1" x14ac:dyDescent="0.25"/>
    <row r="1555" hidden="1" x14ac:dyDescent="0.25"/>
    <row r="1556" hidden="1" x14ac:dyDescent="0.25"/>
    <row r="1557" hidden="1" x14ac:dyDescent="0.25"/>
    <row r="1558" hidden="1" x14ac:dyDescent="0.25"/>
    <row r="1559" hidden="1" x14ac:dyDescent="0.25"/>
    <row r="1560" hidden="1" x14ac:dyDescent="0.25"/>
    <row r="1561" hidden="1" x14ac:dyDescent="0.25"/>
    <row r="1562" hidden="1" x14ac:dyDescent="0.25"/>
    <row r="1563" hidden="1" x14ac:dyDescent="0.25"/>
    <row r="1564" hidden="1" x14ac:dyDescent="0.25"/>
    <row r="1565" hidden="1" x14ac:dyDescent="0.25"/>
    <row r="1566" hidden="1" x14ac:dyDescent="0.25"/>
    <row r="1567" hidden="1" x14ac:dyDescent="0.25"/>
    <row r="1568" hidden="1" x14ac:dyDescent="0.25"/>
    <row r="1569" hidden="1" x14ac:dyDescent="0.25"/>
    <row r="1570" hidden="1" x14ac:dyDescent="0.25"/>
    <row r="1571" hidden="1" x14ac:dyDescent="0.25"/>
    <row r="1572" hidden="1" x14ac:dyDescent="0.25"/>
    <row r="1573" hidden="1" x14ac:dyDescent="0.25"/>
    <row r="1574" hidden="1" x14ac:dyDescent="0.25"/>
    <row r="1575" hidden="1" x14ac:dyDescent="0.25"/>
    <row r="1576" hidden="1" x14ac:dyDescent="0.25"/>
    <row r="1577" hidden="1" x14ac:dyDescent="0.25"/>
    <row r="1578" hidden="1" x14ac:dyDescent="0.25"/>
    <row r="1579" hidden="1" x14ac:dyDescent="0.25"/>
    <row r="1580" hidden="1" x14ac:dyDescent="0.25"/>
    <row r="1581" hidden="1" x14ac:dyDescent="0.25"/>
    <row r="1582" hidden="1" x14ac:dyDescent="0.25"/>
    <row r="1583" hidden="1" x14ac:dyDescent="0.25"/>
    <row r="1584" hidden="1" x14ac:dyDescent="0.25"/>
    <row r="1585" hidden="1" x14ac:dyDescent="0.25"/>
    <row r="1586" hidden="1" x14ac:dyDescent="0.25"/>
    <row r="1587" hidden="1" x14ac:dyDescent="0.25"/>
    <row r="1588" hidden="1" x14ac:dyDescent="0.25"/>
    <row r="1589" hidden="1" x14ac:dyDescent="0.25"/>
    <row r="1590" hidden="1" x14ac:dyDescent="0.25"/>
    <row r="1591" hidden="1" x14ac:dyDescent="0.25"/>
    <row r="1592" hidden="1" x14ac:dyDescent="0.25"/>
    <row r="1593" hidden="1" x14ac:dyDescent="0.25"/>
    <row r="1594" hidden="1" x14ac:dyDescent="0.25"/>
    <row r="1595" hidden="1" x14ac:dyDescent="0.25"/>
    <row r="1596" hidden="1" x14ac:dyDescent="0.25"/>
    <row r="1597" hidden="1" x14ac:dyDescent="0.25"/>
    <row r="1598" hidden="1" x14ac:dyDescent="0.25"/>
    <row r="1599" hidden="1" x14ac:dyDescent="0.25"/>
    <row r="1600" hidden="1" x14ac:dyDescent="0.25"/>
    <row r="1601" hidden="1" x14ac:dyDescent="0.25"/>
    <row r="1602" hidden="1" x14ac:dyDescent="0.25"/>
    <row r="1603" hidden="1" x14ac:dyDescent="0.25"/>
    <row r="1604" hidden="1" x14ac:dyDescent="0.25"/>
    <row r="1605" hidden="1" x14ac:dyDescent="0.25"/>
    <row r="1606" hidden="1" x14ac:dyDescent="0.25"/>
    <row r="1607" hidden="1" x14ac:dyDescent="0.25"/>
    <row r="1608" hidden="1" x14ac:dyDescent="0.25"/>
    <row r="1609" hidden="1" x14ac:dyDescent="0.25"/>
    <row r="1610" hidden="1" x14ac:dyDescent="0.25"/>
    <row r="1611" hidden="1" x14ac:dyDescent="0.25"/>
    <row r="1612" hidden="1" x14ac:dyDescent="0.25"/>
    <row r="1613" hidden="1" x14ac:dyDescent="0.25"/>
    <row r="1614" hidden="1" x14ac:dyDescent="0.25"/>
    <row r="1615" hidden="1" x14ac:dyDescent="0.25"/>
    <row r="1616" hidden="1" x14ac:dyDescent="0.25"/>
    <row r="1617" hidden="1" x14ac:dyDescent="0.25"/>
    <row r="1618" hidden="1" x14ac:dyDescent="0.25"/>
    <row r="1619" hidden="1" x14ac:dyDescent="0.25"/>
    <row r="1620" hidden="1" x14ac:dyDescent="0.25"/>
    <row r="1621" hidden="1" x14ac:dyDescent="0.25"/>
    <row r="1622" hidden="1" x14ac:dyDescent="0.25"/>
    <row r="1623" hidden="1" x14ac:dyDescent="0.25"/>
    <row r="1624" hidden="1" x14ac:dyDescent="0.25"/>
    <row r="1625" hidden="1" x14ac:dyDescent="0.25"/>
    <row r="1626" hidden="1" x14ac:dyDescent="0.25"/>
    <row r="1627" hidden="1" x14ac:dyDescent="0.25"/>
    <row r="1628" hidden="1" x14ac:dyDescent="0.25"/>
    <row r="1629" hidden="1" x14ac:dyDescent="0.25"/>
    <row r="1630" hidden="1" x14ac:dyDescent="0.25"/>
    <row r="1631" hidden="1" x14ac:dyDescent="0.25"/>
    <row r="1632" hidden="1" x14ac:dyDescent="0.25"/>
    <row r="1633" hidden="1" x14ac:dyDescent="0.25"/>
    <row r="1634" hidden="1" x14ac:dyDescent="0.25"/>
    <row r="1635" hidden="1" x14ac:dyDescent="0.25"/>
    <row r="1636" hidden="1" x14ac:dyDescent="0.25"/>
    <row r="1637" hidden="1" x14ac:dyDescent="0.25"/>
    <row r="1638" hidden="1" x14ac:dyDescent="0.25"/>
    <row r="1639" hidden="1" x14ac:dyDescent="0.25"/>
    <row r="1640" hidden="1" x14ac:dyDescent="0.25"/>
    <row r="1641" hidden="1" x14ac:dyDescent="0.25"/>
    <row r="1642" hidden="1" x14ac:dyDescent="0.25"/>
    <row r="1643" hidden="1" x14ac:dyDescent="0.25"/>
    <row r="1644" hidden="1" x14ac:dyDescent="0.25"/>
    <row r="1645" hidden="1" x14ac:dyDescent="0.25"/>
    <row r="1646" hidden="1" x14ac:dyDescent="0.25"/>
    <row r="1647" hidden="1" x14ac:dyDescent="0.25"/>
    <row r="1648" hidden="1" x14ac:dyDescent="0.25"/>
    <row r="1649" hidden="1" x14ac:dyDescent="0.25"/>
    <row r="1650" hidden="1" x14ac:dyDescent="0.25"/>
    <row r="1651" hidden="1" x14ac:dyDescent="0.25"/>
    <row r="1652" hidden="1" x14ac:dyDescent="0.25"/>
    <row r="1653" hidden="1" x14ac:dyDescent="0.25"/>
    <row r="1654" hidden="1" x14ac:dyDescent="0.25"/>
    <row r="1655" hidden="1" x14ac:dyDescent="0.25"/>
    <row r="1656" hidden="1" x14ac:dyDescent="0.25"/>
    <row r="1657" hidden="1" x14ac:dyDescent="0.25"/>
    <row r="1658" hidden="1" x14ac:dyDescent="0.25"/>
    <row r="1659" hidden="1" x14ac:dyDescent="0.25"/>
    <row r="1660" hidden="1" x14ac:dyDescent="0.25"/>
    <row r="1661" hidden="1" x14ac:dyDescent="0.25"/>
    <row r="1662" hidden="1" x14ac:dyDescent="0.25"/>
    <row r="1663" hidden="1" x14ac:dyDescent="0.25"/>
    <row r="1664" hidden="1" x14ac:dyDescent="0.25"/>
    <row r="1665" hidden="1" x14ac:dyDescent="0.25"/>
    <row r="1666" hidden="1" x14ac:dyDescent="0.25"/>
    <row r="1667" hidden="1" x14ac:dyDescent="0.25"/>
    <row r="1668" hidden="1" x14ac:dyDescent="0.25"/>
    <row r="1669" hidden="1" x14ac:dyDescent="0.25"/>
    <row r="1670" hidden="1" x14ac:dyDescent="0.25"/>
    <row r="1671" hidden="1" x14ac:dyDescent="0.25"/>
    <row r="1672" hidden="1" x14ac:dyDescent="0.25"/>
    <row r="1673" hidden="1" x14ac:dyDescent="0.25"/>
    <row r="1674" hidden="1" x14ac:dyDescent="0.25"/>
    <row r="1675" hidden="1" x14ac:dyDescent="0.25"/>
    <row r="1676" hidden="1" x14ac:dyDescent="0.25"/>
    <row r="1677" hidden="1" x14ac:dyDescent="0.25"/>
    <row r="1678" hidden="1" x14ac:dyDescent="0.25"/>
    <row r="1679" hidden="1" x14ac:dyDescent="0.25"/>
    <row r="1680" hidden="1" x14ac:dyDescent="0.25"/>
    <row r="1681" hidden="1" x14ac:dyDescent="0.25"/>
    <row r="1682" hidden="1" x14ac:dyDescent="0.25"/>
    <row r="1683" hidden="1" x14ac:dyDescent="0.25"/>
    <row r="1684" hidden="1" x14ac:dyDescent="0.25"/>
    <row r="1685" hidden="1" x14ac:dyDescent="0.25"/>
    <row r="1686" hidden="1" x14ac:dyDescent="0.25"/>
    <row r="1687" hidden="1" x14ac:dyDescent="0.25"/>
    <row r="1688" hidden="1" x14ac:dyDescent="0.25"/>
    <row r="1689" hidden="1" x14ac:dyDescent="0.25"/>
    <row r="1690" hidden="1" x14ac:dyDescent="0.25"/>
    <row r="1691" hidden="1" x14ac:dyDescent="0.25"/>
    <row r="1692" hidden="1" x14ac:dyDescent="0.25"/>
    <row r="1693" hidden="1" x14ac:dyDescent="0.25"/>
    <row r="1694" hidden="1" x14ac:dyDescent="0.25"/>
    <row r="1695" hidden="1" x14ac:dyDescent="0.25"/>
    <row r="1696" hidden="1" x14ac:dyDescent="0.25"/>
    <row r="1697" hidden="1" x14ac:dyDescent="0.25"/>
    <row r="1698" hidden="1" x14ac:dyDescent="0.25"/>
    <row r="1699" hidden="1" x14ac:dyDescent="0.25"/>
    <row r="1700" hidden="1" x14ac:dyDescent="0.25"/>
    <row r="1701" hidden="1" x14ac:dyDescent="0.25"/>
    <row r="1702" hidden="1" x14ac:dyDescent="0.25"/>
    <row r="1703" hidden="1" x14ac:dyDescent="0.25"/>
    <row r="1704" hidden="1" x14ac:dyDescent="0.25"/>
    <row r="1705" hidden="1" x14ac:dyDescent="0.25"/>
    <row r="1706" hidden="1" x14ac:dyDescent="0.25"/>
    <row r="1707" hidden="1" x14ac:dyDescent="0.25"/>
    <row r="1708" hidden="1" x14ac:dyDescent="0.25"/>
    <row r="1709" hidden="1" x14ac:dyDescent="0.25"/>
    <row r="1710" hidden="1" x14ac:dyDescent="0.25"/>
    <row r="1711" hidden="1" x14ac:dyDescent="0.25"/>
    <row r="1712" hidden="1" x14ac:dyDescent="0.25"/>
    <row r="1713" hidden="1" x14ac:dyDescent="0.25"/>
    <row r="1714" hidden="1" x14ac:dyDescent="0.25"/>
    <row r="1715" hidden="1" x14ac:dyDescent="0.25"/>
    <row r="1716" hidden="1" x14ac:dyDescent="0.25"/>
    <row r="1717" hidden="1" x14ac:dyDescent="0.25"/>
    <row r="1718" hidden="1" x14ac:dyDescent="0.25"/>
    <row r="1719" hidden="1" x14ac:dyDescent="0.25"/>
    <row r="1720" hidden="1" x14ac:dyDescent="0.25"/>
    <row r="1721" hidden="1" x14ac:dyDescent="0.25"/>
    <row r="1722" hidden="1" x14ac:dyDescent="0.25"/>
    <row r="1723" hidden="1" x14ac:dyDescent="0.25"/>
    <row r="1724" hidden="1" x14ac:dyDescent="0.25"/>
    <row r="1725" hidden="1" x14ac:dyDescent="0.25"/>
    <row r="1726" hidden="1" x14ac:dyDescent="0.25"/>
    <row r="1727" hidden="1" x14ac:dyDescent="0.25"/>
    <row r="1728" hidden="1" x14ac:dyDescent="0.25"/>
    <row r="1729" hidden="1" x14ac:dyDescent="0.25"/>
    <row r="1730" hidden="1" x14ac:dyDescent="0.25"/>
    <row r="1731" hidden="1" x14ac:dyDescent="0.25"/>
    <row r="1732" hidden="1" x14ac:dyDescent="0.25"/>
    <row r="1733" hidden="1" x14ac:dyDescent="0.25"/>
    <row r="1734" hidden="1" x14ac:dyDescent="0.25"/>
    <row r="1735" hidden="1" x14ac:dyDescent="0.25"/>
    <row r="1736" hidden="1" x14ac:dyDescent="0.25"/>
    <row r="1737" hidden="1" x14ac:dyDescent="0.25"/>
    <row r="1738" hidden="1" x14ac:dyDescent="0.25"/>
    <row r="1739" hidden="1" x14ac:dyDescent="0.25"/>
    <row r="1740" hidden="1" x14ac:dyDescent="0.25"/>
    <row r="1741" hidden="1" x14ac:dyDescent="0.25"/>
    <row r="1742" hidden="1" x14ac:dyDescent="0.25"/>
    <row r="1743" hidden="1" x14ac:dyDescent="0.25"/>
    <row r="1744" hidden="1" x14ac:dyDescent="0.25"/>
    <row r="1745" hidden="1" x14ac:dyDescent="0.25"/>
    <row r="1746" hidden="1" x14ac:dyDescent="0.25"/>
    <row r="1747" hidden="1" x14ac:dyDescent="0.25"/>
    <row r="1748" hidden="1" x14ac:dyDescent="0.25"/>
    <row r="1749" hidden="1" x14ac:dyDescent="0.25"/>
    <row r="1750" hidden="1" x14ac:dyDescent="0.25"/>
    <row r="1751" hidden="1" x14ac:dyDescent="0.25"/>
    <row r="1752" hidden="1" x14ac:dyDescent="0.25"/>
    <row r="1753" hidden="1" x14ac:dyDescent="0.25"/>
    <row r="1754" hidden="1" x14ac:dyDescent="0.25"/>
    <row r="1755" hidden="1" x14ac:dyDescent="0.25"/>
    <row r="1756" hidden="1" x14ac:dyDescent="0.25"/>
    <row r="1757" hidden="1" x14ac:dyDescent="0.25"/>
    <row r="1758" hidden="1" x14ac:dyDescent="0.25"/>
    <row r="1759" hidden="1" x14ac:dyDescent="0.25"/>
    <row r="1760" hidden="1" x14ac:dyDescent="0.25"/>
    <row r="1761" hidden="1" x14ac:dyDescent="0.25"/>
    <row r="1762" hidden="1" x14ac:dyDescent="0.25"/>
    <row r="1763" hidden="1" x14ac:dyDescent="0.25"/>
    <row r="1764" hidden="1" x14ac:dyDescent="0.25"/>
    <row r="1765" hidden="1" x14ac:dyDescent="0.25"/>
    <row r="1766" hidden="1" x14ac:dyDescent="0.25"/>
    <row r="1767" hidden="1" x14ac:dyDescent="0.25"/>
    <row r="1768" hidden="1" x14ac:dyDescent="0.25"/>
    <row r="1769" hidden="1" x14ac:dyDescent="0.25"/>
    <row r="1770" hidden="1" x14ac:dyDescent="0.25"/>
    <row r="1771" hidden="1" x14ac:dyDescent="0.25"/>
    <row r="1772" hidden="1" x14ac:dyDescent="0.25"/>
    <row r="1773" hidden="1" x14ac:dyDescent="0.25"/>
    <row r="1774" hidden="1" x14ac:dyDescent="0.25"/>
    <row r="1775" hidden="1" x14ac:dyDescent="0.25"/>
    <row r="1776" hidden="1" x14ac:dyDescent="0.25"/>
    <row r="1777" hidden="1" x14ac:dyDescent="0.25"/>
    <row r="1778" hidden="1" x14ac:dyDescent="0.25"/>
    <row r="1779" hidden="1" x14ac:dyDescent="0.25"/>
    <row r="1780" hidden="1" x14ac:dyDescent="0.25"/>
    <row r="1781" hidden="1" x14ac:dyDescent="0.25"/>
    <row r="1782" hidden="1" x14ac:dyDescent="0.25"/>
    <row r="1783" hidden="1" x14ac:dyDescent="0.25"/>
    <row r="1784" hidden="1" x14ac:dyDescent="0.25"/>
    <row r="1785" hidden="1" x14ac:dyDescent="0.25"/>
    <row r="1786" hidden="1" x14ac:dyDescent="0.25"/>
    <row r="1787" hidden="1" x14ac:dyDescent="0.25"/>
    <row r="1788" hidden="1" x14ac:dyDescent="0.25"/>
    <row r="1789" hidden="1" x14ac:dyDescent="0.25"/>
    <row r="1790" hidden="1" x14ac:dyDescent="0.25"/>
    <row r="1791" hidden="1" x14ac:dyDescent="0.25"/>
    <row r="1792" hidden="1" x14ac:dyDescent="0.25"/>
    <row r="1793" hidden="1" x14ac:dyDescent="0.25"/>
    <row r="1794" hidden="1" x14ac:dyDescent="0.25"/>
    <row r="1795" hidden="1" x14ac:dyDescent="0.25"/>
    <row r="1796" hidden="1" x14ac:dyDescent="0.25"/>
    <row r="1797" hidden="1" x14ac:dyDescent="0.25"/>
    <row r="1798" hidden="1" x14ac:dyDescent="0.25"/>
    <row r="1799" hidden="1" x14ac:dyDescent="0.25"/>
    <row r="1800" hidden="1" x14ac:dyDescent="0.25"/>
    <row r="1801" hidden="1" x14ac:dyDescent="0.25"/>
    <row r="1802" hidden="1" x14ac:dyDescent="0.25"/>
    <row r="1803" hidden="1" x14ac:dyDescent="0.25"/>
    <row r="1804" hidden="1" x14ac:dyDescent="0.25"/>
    <row r="1805" hidden="1" x14ac:dyDescent="0.25"/>
    <row r="1806" hidden="1" x14ac:dyDescent="0.25"/>
    <row r="1807" hidden="1" x14ac:dyDescent="0.25"/>
    <row r="1808" hidden="1" x14ac:dyDescent="0.25"/>
    <row r="1809" hidden="1" x14ac:dyDescent="0.25"/>
    <row r="1810" hidden="1" x14ac:dyDescent="0.25"/>
    <row r="1811" hidden="1" x14ac:dyDescent="0.25"/>
    <row r="1812" hidden="1" x14ac:dyDescent="0.25"/>
    <row r="1813" hidden="1" x14ac:dyDescent="0.25"/>
    <row r="1814" hidden="1" x14ac:dyDescent="0.25"/>
    <row r="1815" hidden="1" x14ac:dyDescent="0.25"/>
    <row r="1816" hidden="1" x14ac:dyDescent="0.25"/>
    <row r="1817" hidden="1" x14ac:dyDescent="0.25"/>
    <row r="1818" hidden="1" x14ac:dyDescent="0.25"/>
    <row r="1819" hidden="1" x14ac:dyDescent="0.25"/>
    <row r="1820" hidden="1" x14ac:dyDescent="0.25"/>
    <row r="1821" hidden="1" x14ac:dyDescent="0.25"/>
    <row r="1822" hidden="1" x14ac:dyDescent="0.25"/>
    <row r="1823" hidden="1" x14ac:dyDescent="0.25"/>
    <row r="1824" hidden="1" x14ac:dyDescent="0.25"/>
    <row r="1825" hidden="1" x14ac:dyDescent="0.25"/>
    <row r="1826" hidden="1" x14ac:dyDescent="0.25"/>
    <row r="1827" hidden="1" x14ac:dyDescent="0.25"/>
    <row r="1828" hidden="1" x14ac:dyDescent="0.25"/>
    <row r="1829" hidden="1" x14ac:dyDescent="0.25"/>
    <row r="1830" hidden="1" x14ac:dyDescent="0.25"/>
    <row r="1831" hidden="1" x14ac:dyDescent="0.25"/>
    <row r="1832" hidden="1" x14ac:dyDescent="0.25"/>
    <row r="1833" hidden="1" x14ac:dyDescent="0.25"/>
    <row r="1834" hidden="1" x14ac:dyDescent="0.25"/>
    <row r="1835" hidden="1" x14ac:dyDescent="0.25"/>
    <row r="1836" hidden="1" x14ac:dyDescent="0.25"/>
    <row r="1837" hidden="1" x14ac:dyDescent="0.25"/>
    <row r="1838" hidden="1" x14ac:dyDescent="0.25"/>
    <row r="1839" hidden="1" x14ac:dyDescent="0.25"/>
    <row r="1840" hidden="1" x14ac:dyDescent="0.25"/>
    <row r="1841" hidden="1" x14ac:dyDescent="0.25"/>
    <row r="1842" hidden="1" x14ac:dyDescent="0.25"/>
    <row r="1843" hidden="1" x14ac:dyDescent="0.25"/>
    <row r="1844" hidden="1" x14ac:dyDescent="0.25"/>
    <row r="1845" hidden="1" x14ac:dyDescent="0.25"/>
    <row r="1846" hidden="1" x14ac:dyDescent="0.25"/>
    <row r="1847" hidden="1" x14ac:dyDescent="0.25"/>
    <row r="1848" hidden="1" x14ac:dyDescent="0.25"/>
    <row r="1849" hidden="1" x14ac:dyDescent="0.25"/>
    <row r="1850" hidden="1" x14ac:dyDescent="0.25"/>
    <row r="1851" hidden="1" x14ac:dyDescent="0.25"/>
    <row r="1852" hidden="1" x14ac:dyDescent="0.25"/>
    <row r="1853" hidden="1" x14ac:dyDescent="0.25"/>
    <row r="1854" hidden="1" x14ac:dyDescent="0.25"/>
    <row r="1855" hidden="1" x14ac:dyDescent="0.25"/>
    <row r="1856" hidden="1" x14ac:dyDescent="0.25"/>
    <row r="1857" hidden="1" x14ac:dyDescent="0.25"/>
    <row r="1858" hidden="1" x14ac:dyDescent="0.25"/>
    <row r="1859" hidden="1" x14ac:dyDescent="0.25"/>
    <row r="1860" hidden="1" x14ac:dyDescent="0.25"/>
    <row r="1861" hidden="1" x14ac:dyDescent="0.25"/>
    <row r="1862" hidden="1" x14ac:dyDescent="0.25"/>
    <row r="1863" hidden="1" x14ac:dyDescent="0.25"/>
    <row r="1864" hidden="1" x14ac:dyDescent="0.25"/>
    <row r="1865" hidden="1" x14ac:dyDescent="0.25"/>
    <row r="1866" hidden="1" x14ac:dyDescent="0.25"/>
    <row r="1867" hidden="1" x14ac:dyDescent="0.25"/>
    <row r="1868" hidden="1" x14ac:dyDescent="0.25"/>
    <row r="1869" hidden="1" x14ac:dyDescent="0.25"/>
    <row r="1870" hidden="1" x14ac:dyDescent="0.25"/>
    <row r="1871" hidden="1" x14ac:dyDescent="0.25"/>
    <row r="1872" hidden="1" x14ac:dyDescent="0.25"/>
    <row r="1873" hidden="1" x14ac:dyDescent="0.25"/>
    <row r="1874" hidden="1" x14ac:dyDescent="0.25"/>
    <row r="1875" hidden="1" x14ac:dyDescent="0.25"/>
    <row r="1876" hidden="1" x14ac:dyDescent="0.25"/>
    <row r="1877" hidden="1" x14ac:dyDescent="0.25"/>
    <row r="1878" hidden="1" x14ac:dyDescent="0.25"/>
    <row r="1879" hidden="1" x14ac:dyDescent="0.25"/>
    <row r="1880" hidden="1" x14ac:dyDescent="0.25"/>
    <row r="1881" hidden="1" x14ac:dyDescent="0.25"/>
    <row r="1882" hidden="1" x14ac:dyDescent="0.25"/>
    <row r="1883" hidden="1" x14ac:dyDescent="0.25"/>
    <row r="1884" hidden="1" x14ac:dyDescent="0.25"/>
    <row r="1885" hidden="1" x14ac:dyDescent="0.25"/>
    <row r="1886" hidden="1" x14ac:dyDescent="0.25"/>
    <row r="1887" hidden="1" x14ac:dyDescent="0.25"/>
    <row r="1888" hidden="1" x14ac:dyDescent="0.25"/>
    <row r="1889" hidden="1" x14ac:dyDescent="0.25"/>
    <row r="1890" hidden="1" x14ac:dyDescent="0.25"/>
    <row r="1891" hidden="1" x14ac:dyDescent="0.25"/>
    <row r="1892" hidden="1" x14ac:dyDescent="0.25"/>
    <row r="1893" hidden="1" x14ac:dyDescent="0.25"/>
    <row r="1894" hidden="1" x14ac:dyDescent="0.25"/>
    <row r="1895" hidden="1" x14ac:dyDescent="0.25"/>
    <row r="1896" hidden="1" x14ac:dyDescent="0.25"/>
    <row r="1897" hidden="1" x14ac:dyDescent="0.25"/>
    <row r="1898" hidden="1" x14ac:dyDescent="0.25"/>
    <row r="1899" hidden="1" x14ac:dyDescent="0.25"/>
    <row r="1900" hidden="1" x14ac:dyDescent="0.25"/>
    <row r="1901" hidden="1" x14ac:dyDescent="0.25"/>
    <row r="1902" hidden="1" x14ac:dyDescent="0.25"/>
    <row r="1903" hidden="1" x14ac:dyDescent="0.25"/>
    <row r="1904" hidden="1" x14ac:dyDescent="0.25"/>
    <row r="1905" hidden="1" x14ac:dyDescent="0.25"/>
    <row r="1906" hidden="1" x14ac:dyDescent="0.25"/>
    <row r="1907" hidden="1" x14ac:dyDescent="0.25"/>
    <row r="1908" hidden="1" x14ac:dyDescent="0.25"/>
    <row r="1909" hidden="1" x14ac:dyDescent="0.25"/>
    <row r="1910" hidden="1" x14ac:dyDescent="0.25"/>
    <row r="1911" hidden="1" x14ac:dyDescent="0.25"/>
    <row r="1912" hidden="1" x14ac:dyDescent="0.25"/>
    <row r="1913" hidden="1" x14ac:dyDescent="0.25"/>
    <row r="1914" hidden="1" x14ac:dyDescent="0.25"/>
    <row r="1915" hidden="1" x14ac:dyDescent="0.25"/>
    <row r="1916" hidden="1" x14ac:dyDescent="0.25"/>
    <row r="1917" hidden="1" x14ac:dyDescent="0.25"/>
    <row r="1918" hidden="1" x14ac:dyDescent="0.25"/>
    <row r="1919" hidden="1" x14ac:dyDescent="0.25"/>
    <row r="1920" hidden="1" x14ac:dyDescent="0.25"/>
    <row r="1921" hidden="1" x14ac:dyDescent="0.25"/>
    <row r="1922" hidden="1" x14ac:dyDescent="0.25"/>
    <row r="1923" hidden="1" x14ac:dyDescent="0.25"/>
    <row r="1924" hidden="1" x14ac:dyDescent="0.25"/>
    <row r="1925" hidden="1" x14ac:dyDescent="0.25"/>
    <row r="1926" hidden="1" x14ac:dyDescent="0.25"/>
    <row r="1927" hidden="1" x14ac:dyDescent="0.25"/>
    <row r="1928" hidden="1" x14ac:dyDescent="0.25"/>
    <row r="1929" hidden="1" x14ac:dyDescent="0.25"/>
    <row r="1930" hidden="1" x14ac:dyDescent="0.25"/>
    <row r="1931" hidden="1" x14ac:dyDescent="0.25"/>
    <row r="1932" hidden="1" x14ac:dyDescent="0.25"/>
    <row r="1933" hidden="1" x14ac:dyDescent="0.25"/>
    <row r="1934" hidden="1" x14ac:dyDescent="0.25"/>
    <row r="1935" hidden="1" x14ac:dyDescent="0.25"/>
    <row r="1936" hidden="1" x14ac:dyDescent="0.25"/>
    <row r="1937" hidden="1" x14ac:dyDescent="0.25"/>
    <row r="1938" hidden="1" x14ac:dyDescent="0.25"/>
    <row r="1939" hidden="1" x14ac:dyDescent="0.25"/>
    <row r="1940" hidden="1" x14ac:dyDescent="0.25"/>
    <row r="1941" hidden="1" x14ac:dyDescent="0.25"/>
    <row r="1942" hidden="1" x14ac:dyDescent="0.25"/>
    <row r="1943" hidden="1" x14ac:dyDescent="0.25"/>
    <row r="1944" hidden="1" x14ac:dyDescent="0.25"/>
    <row r="1945" hidden="1" x14ac:dyDescent="0.25"/>
    <row r="1946" hidden="1" x14ac:dyDescent="0.25"/>
    <row r="1947" hidden="1" x14ac:dyDescent="0.25"/>
    <row r="1948" hidden="1" x14ac:dyDescent="0.25"/>
    <row r="1949" hidden="1" x14ac:dyDescent="0.25"/>
    <row r="1950" hidden="1" x14ac:dyDescent="0.25"/>
    <row r="1951" hidden="1" x14ac:dyDescent="0.25"/>
    <row r="1952" hidden="1" x14ac:dyDescent="0.25"/>
    <row r="1953" hidden="1" x14ac:dyDescent="0.25"/>
    <row r="1954" hidden="1" x14ac:dyDescent="0.25"/>
    <row r="1955" hidden="1" x14ac:dyDescent="0.25"/>
    <row r="1956" hidden="1" x14ac:dyDescent="0.25"/>
    <row r="1957" hidden="1" x14ac:dyDescent="0.25"/>
    <row r="1958" hidden="1" x14ac:dyDescent="0.25"/>
    <row r="1959" hidden="1" x14ac:dyDescent="0.25"/>
    <row r="1960" hidden="1" x14ac:dyDescent="0.25"/>
    <row r="1961" hidden="1" x14ac:dyDescent="0.25"/>
    <row r="1962" hidden="1" x14ac:dyDescent="0.25"/>
    <row r="1963" hidden="1" x14ac:dyDescent="0.25"/>
    <row r="1964" hidden="1" x14ac:dyDescent="0.25"/>
    <row r="1965" hidden="1" x14ac:dyDescent="0.25"/>
    <row r="1966" hidden="1" x14ac:dyDescent="0.25"/>
    <row r="1967" hidden="1" x14ac:dyDescent="0.25"/>
    <row r="1968" hidden="1" x14ac:dyDescent="0.25"/>
    <row r="1969" hidden="1" x14ac:dyDescent="0.25"/>
    <row r="1970" hidden="1" x14ac:dyDescent="0.25"/>
    <row r="1971" hidden="1" x14ac:dyDescent="0.25"/>
    <row r="1972" hidden="1" x14ac:dyDescent="0.25"/>
    <row r="1973" hidden="1" x14ac:dyDescent="0.25"/>
    <row r="1974" hidden="1" x14ac:dyDescent="0.25"/>
    <row r="1975" hidden="1" x14ac:dyDescent="0.25"/>
    <row r="1976" hidden="1" x14ac:dyDescent="0.25"/>
    <row r="1977" hidden="1" x14ac:dyDescent="0.25"/>
    <row r="1978" hidden="1" x14ac:dyDescent="0.25"/>
    <row r="1979" hidden="1" x14ac:dyDescent="0.25"/>
    <row r="1980" hidden="1" x14ac:dyDescent="0.25"/>
    <row r="1981" hidden="1" x14ac:dyDescent="0.25"/>
    <row r="1982" hidden="1" x14ac:dyDescent="0.25"/>
    <row r="1983" hidden="1" x14ac:dyDescent="0.25"/>
    <row r="1984" hidden="1" x14ac:dyDescent="0.25"/>
    <row r="1985" hidden="1" x14ac:dyDescent="0.25"/>
    <row r="1986" hidden="1" x14ac:dyDescent="0.25"/>
    <row r="1987" hidden="1" x14ac:dyDescent="0.25"/>
    <row r="1988" hidden="1" x14ac:dyDescent="0.25"/>
    <row r="1989" hidden="1" x14ac:dyDescent="0.25"/>
    <row r="1990" hidden="1" x14ac:dyDescent="0.25"/>
    <row r="1991" hidden="1" x14ac:dyDescent="0.25"/>
    <row r="1992" hidden="1" x14ac:dyDescent="0.25"/>
    <row r="1993" hidden="1" x14ac:dyDescent="0.25"/>
    <row r="1994" hidden="1" x14ac:dyDescent="0.25"/>
    <row r="1995" hidden="1" x14ac:dyDescent="0.25"/>
    <row r="1996" hidden="1" x14ac:dyDescent="0.25"/>
    <row r="1997" hidden="1" x14ac:dyDescent="0.25"/>
    <row r="1998" hidden="1" x14ac:dyDescent="0.25"/>
    <row r="1999" hidden="1" x14ac:dyDescent="0.25"/>
    <row r="2000" hidden="1" x14ac:dyDescent="0.25"/>
    <row r="2001" hidden="1" x14ac:dyDescent="0.25"/>
    <row r="2002" hidden="1" x14ac:dyDescent="0.25"/>
    <row r="2003" hidden="1" x14ac:dyDescent="0.25"/>
    <row r="2004" hidden="1" x14ac:dyDescent="0.25"/>
    <row r="2005" hidden="1" x14ac:dyDescent="0.25"/>
    <row r="2006" hidden="1" x14ac:dyDescent="0.25"/>
    <row r="2007" hidden="1" x14ac:dyDescent="0.25"/>
    <row r="2008" hidden="1" x14ac:dyDescent="0.25"/>
    <row r="2009" hidden="1" x14ac:dyDescent="0.25"/>
    <row r="2010" hidden="1" x14ac:dyDescent="0.25"/>
    <row r="2011" hidden="1" x14ac:dyDescent="0.25"/>
    <row r="2012" hidden="1" x14ac:dyDescent="0.25"/>
    <row r="2013" hidden="1" x14ac:dyDescent="0.25"/>
    <row r="2014" hidden="1" x14ac:dyDescent="0.25"/>
    <row r="2015" hidden="1" x14ac:dyDescent="0.25"/>
    <row r="2016" hidden="1" x14ac:dyDescent="0.25"/>
    <row r="2017" hidden="1" x14ac:dyDescent="0.25"/>
    <row r="2018" hidden="1" x14ac:dyDescent="0.25"/>
    <row r="2019" hidden="1" x14ac:dyDescent="0.25"/>
    <row r="2020" hidden="1" x14ac:dyDescent="0.25"/>
    <row r="2021" hidden="1" x14ac:dyDescent="0.25"/>
    <row r="2022" hidden="1" x14ac:dyDescent="0.25"/>
    <row r="2023" hidden="1" x14ac:dyDescent="0.25"/>
    <row r="2024" hidden="1" x14ac:dyDescent="0.25"/>
    <row r="2025" hidden="1" x14ac:dyDescent="0.25"/>
    <row r="2026" hidden="1" x14ac:dyDescent="0.25"/>
    <row r="2027" hidden="1" x14ac:dyDescent="0.25"/>
    <row r="2028" hidden="1" x14ac:dyDescent="0.25"/>
    <row r="2029" hidden="1" x14ac:dyDescent="0.25"/>
    <row r="2030" hidden="1" x14ac:dyDescent="0.25"/>
    <row r="2031" hidden="1" x14ac:dyDescent="0.25"/>
    <row r="2032" hidden="1" x14ac:dyDescent="0.25"/>
    <row r="2033" hidden="1" x14ac:dyDescent="0.25"/>
    <row r="2034" hidden="1" x14ac:dyDescent="0.25"/>
    <row r="2035" hidden="1" x14ac:dyDescent="0.25"/>
    <row r="2036" hidden="1" x14ac:dyDescent="0.25"/>
    <row r="2037" hidden="1" x14ac:dyDescent="0.25"/>
    <row r="2038" hidden="1" x14ac:dyDescent="0.25"/>
    <row r="2039" hidden="1" x14ac:dyDescent="0.25"/>
    <row r="2040" hidden="1" x14ac:dyDescent="0.25"/>
    <row r="2041" hidden="1" x14ac:dyDescent="0.25"/>
    <row r="2042" hidden="1" x14ac:dyDescent="0.25"/>
    <row r="2043" hidden="1" x14ac:dyDescent="0.25"/>
    <row r="2044" hidden="1" x14ac:dyDescent="0.25"/>
    <row r="2045" hidden="1" x14ac:dyDescent="0.25"/>
    <row r="2046" hidden="1" x14ac:dyDescent="0.25"/>
    <row r="2047" hidden="1" x14ac:dyDescent="0.25"/>
    <row r="2048" hidden="1" x14ac:dyDescent="0.25"/>
    <row r="2049" hidden="1" x14ac:dyDescent="0.25"/>
    <row r="2050" hidden="1" x14ac:dyDescent="0.25"/>
    <row r="2051" hidden="1" x14ac:dyDescent="0.25"/>
    <row r="2052" hidden="1" x14ac:dyDescent="0.25"/>
    <row r="2053" hidden="1" x14ac:dyDescent="0.25"/>
    <row r="2054" hidden="1" x14ac:dyDescent="0.25"/>
    <row r="2055" hidden="1" x14ac:dyDescent="0.25"/>
    <row r="2056" hidden="1" x14ac:dyDescent="0.25"/>
    <row r="2057" hidden="1" x14ac:dyDescent="0.25"/>
    <row r="2058" hidden="1" x14ac:dyDescent="0.25"/>
    <row r="2059" hidden="1" x14ac:dyDescent="0.25"/>
    <row r="2060" hidden="1" x14ac:dyDescent="0.25"/>
    <row r="2061" hidden="1" x14ac:dyDescent="0.25"/>
    <row r="2062" hidden="1" x14ac:dyDescent="0.25"/>
    <row r="2063" hidden="1" x14ac:dyDescent="0.25"/>
    <row r="2064" hidden="1" x14ac:dyDescent="0.25"/>
    <row r="2065" hidden="1" x14ac:dyDescent="0.25"/>
    <row r="2066" hidden="1" x14ac:dyDescent="0.25"/>
    <row r="2067" hidden="1" x14ac:dyDescent="0.25"/>
    <row r="2068" hidden="1" x14ac:dyDescent="0.25"/>
    <row r="2069" hidden="1" x14ac:dyDescent="0.25"/>
    <row r="2070" hidden="1" x14ac:dyDescent="0.25"/>
    <row r="2071" hidden="1" x14ac:dyDescent="0.25"/>
    <row r="2072" hidden="1" x14ac:dyDescent="0.25"/>
    <row r="2073" hidden="1" x14ac:dyDescent="0.25"/>
    <row r="2074" hidden="1" x14ac:dyDescent="0.25"/>
    <row r="2075" hidden="1" x14ac:dyDescent="0.25"/>
    <row r="2076" hidden="1" x14ac:dyDescent="0.25"/>
    <row r="2077" hidden="1" x14ac:dyDescent="0.25"/>
    <row r="2078" hidden="1" x14ac:dyDescent="0.25"/>
    <row r="2079" hidden="1" x14ac:dyDescent="0.25"/>
    <row r="2080" hidden="1" x14ac:dyDescent="0.25"/>
    <row r="2081" hidden="1" x14ac:dyDescent="0.25"/>
    <row r="2082" hidden="1" x14ac:dyDescent="0.25"/>
    <row r="2083" hidden="1" x14ac:dyDescent="0.25"/>
    <row r="2084" hidden="1" x14ac:dyDescent="0.25"/>
    <row r="2085" hidden="1" x14ac:dyDescent="0.25"/>
    <row r="2086" hidden="1" x14ac:dyDescent="0.25"/>
    <row r="2087" hidden="1" x14ac:dyDescent="0.25"/>
    <row r="2088" hidden="1" x14ac:dyDescent="0.25"/>
    <row r="2089" hidden="1" x14ac:dyDescent="0.25"/>
    <row r="2090" hidden="1" x14ac:dyDescent="0.25"/>
    <row r="2091" hidden="1" x14ac:dyDescent="0.25"/>
    <row r="2092" hidden="1" x14ac:dyDescent="0.25"/>
    <row r="2093" hidden="1" x14ac:dyDescent="0.25"/>
    <row r="2094" hidden="1" x14ac:dyDescent="0.25"/>
    <row r="2095" hidden="1" x14ac:dyDescent="0.25"/>
    <row r="2096" hidden="1" x14ac:dyDescent="0.25"/>
    <row r="2097" hidden="1" x14ac:dyDescent="0.25"/>
    <row r="2098" hidden="1" x14ac:dyDescent="0.25"/>
    <row r="2099" hidden="1" x14ac:dyDescent="0.25"/>
    <row r="2100" hidden="1" x14ac:dyDescent="0.25"/>
    <row r="2101" hidden="1" x14ac:dyDescent="0.25"/>
    <row r="2102" hidden="1" x14ac:dyDescent="0.25"/>
    <row r="2103" hidden="1" x14ac:dyDescent="0.25"/>
    <row r="2104" hidden="1" x14ac:dyDescent="0.25"/>
    <row r="2105" hidden="1" x14ac:dyDescent="0.25"/>
    <row r="2106" hidden="1" x14ac:dyDescent="0.25"/>
    <row r="2107" hidden="1" x14ac:dyDescent="0.25"/>
    <row r="2108" hidden="1" x14ac:dyDescent="0.25"/>
    <row r="2109" hidden="1" x14ac:dyDescent="0.25"/>
    <row r="2110" hidden="1" x14ac:dyDescent="0.25"/>
    <row r="2111" hidden="1" x14ac:dyDescent="0.25"/>
    <row r="2112" hidden="1" x14ac:dyDescent="0.25"/>
    <row r="2113" hidden="1" x14ac:dyDescent="0.25"/>
    <row r="2114" hidden="1" x14ac:dyDescent="0.25"/>
    <row r="2115" hidden="1" x14ac:dyDescent="0.25"/>
    <row r="2116" hidden="1" x14ac:dyDescent="0.25"/>
    <row r="2117" hidden="1" x14ac:dyDescent="0.25"/>
    <row r="2118" hidden="1" x14ac:dyDescent="0.25"/>
    <row r="2119" hidden="1" x14ac:dyDescent="0.25"/>
    <row r="2120" hidden="1" x14ac:dyDescent="0.25"/>
    <row r="2121" hidden="1" x14ac:dyDescent="0.25"/>
    <row r="2122" hidden="1" x14ac:dyDescent="0.25"/>
    <row r="2123" hidden="1" x14ac:dyDescent="0.25"/>
    <row r="2124" hidden="1" x14ac:dyDescent="0.25"/>
    <row r="2125" hidden="1" x14ac:dyDescent="0.25"/>
    <row r="2126" hidden="1" x14ac:dyDescent="0.25"/>
    <row r="2127" hidden="1" x14ac:dyDescent="0.25"/>
    <row r="2128" hidden="1" x14ac:dyDescent="0.25"/>
    <row r="2129" hidden="1" x14ac:dyDescent="0.25"/>
    <row r="2130" hidden="1" x14ac:dyDescent="0.25"/>
    <row r="2131" hidden="1" x14ac:dyDescent="0.25"/>
    <row r="2132" hidden="1" x14ac:dyDescent="0.25"/>
    <row r="2133" hidden="1" x14ac:dyDescent="0.25"/>
    <row r="2134" hidden="1" x14ac:dyDescent="0.25"/>
    <row r="2135" hidden="1" x14ac:dyDescent="0.25"/>
    <row r="2136" hidden="1" x14ac:dyDescent="0.25"/>
    <row r="2137" hidden="1" x14ac:dyDescent="0.25"/>
    <row r="2138" hidden="1" x14ac:dyDescent="0.25"/>
    <row r="2139" hidden="1" x14ac:dyDescent="0.25"/>
    <row r="2140" hidden="1" x14ac:dyDescent="0.25"/>
    <row r="2141" hidden="1" x14ac:dyDescent="0.25"/>
    <row r="2142" hidden="1" x14ac:dyDescent="0.25"/>
    <row r="2143" hidden="1" x14ac:dyDescent="0.25"/>
    <row r="2144" hidden="1" x14ac:dyDescent="0.25"/>
    <row r="2145" hidden="1" x14ac:dyDescent="0.25"/>
    <row r="2146" hidden="1" x14ac:dyDescent="0.25"/>
    <row r="2147" hidden="1" x14ac:dyDescent="0.25"/>
    <row r="2148" hidden="1" x14ac:dyDescent="0.25"/>
    <row r="2149" hidden="1" x14ac:dyDescent="0.25"/>
    <row r="2150" hidden="1" x14ac:dyDescent="0.25"/>
    <row r="2151" hidden="1" x14ac:dyDescent="0.25"/>
    <row r="2152" hidden="1" x14ac:dyDescent="0.25"/>
    <row r="2153" hidden="1" x14ac:dyDescent="0.25"/>
    <row r="2154" hidden="1" x14ac:dyDescent="0.25"/>
    <row r="2155" hidden="1" x14ac:dyDescent="0.25"/>
    <row r="2156" hidden="1" x14ac:dyDescent="0.25"/>
    <row r="2157" hidden="1" x14ac:dyDescent="0.25"/>
    <row r="2158" hidden="1" x14ac:dyDescent="0.25"/>
    <row r="2159" hidden="1" x14ac:dyDescent="0.25"/>
    <row r="2160" hidden="1" x14ac:dyDescent="0.25"/>
    <row r="2161" hidden="1" x14ac:dyDescent="0.25"/>
    <row r="2162" hidden="1" x14ac:dyDescent="0.25"/>
    <row r="2163" hidden="1" x14ac:dyDescent="0.25"/>
    <row r="2164" hidden="1" x14ac:dyDescent="0.25"/>
    <row r="2165" hidden="1" x14ac:dyDescent="0.25"/>
    <row r="2166" hidden="1" x14ac:dyDescent="0.25"/>
    <row r="2167" hidden="1" x14ac:dyDescent="0.25"/>
    <row r="2168" hidden="1" x14ac:dyDescent="0.25"/>
    <row r="2169" hidden="1" x14ac:dyDescent="0.25"/>
    <row r="2170" hidden="1" x14ac:dyDescent="0.25"/>
    <row r="2171" hidden="1" x14ac:dyDescent="0.25"/>
    <row r="2172" hidden="1" x14ac:dyDescent="0.25"/>
    <row r="2173" hidden="1" x14ac:dyDescent="0.25"/>
    <row r="2174" hidden="1" x14ac:dyDescent="0.25"/>
    <row r="2175" hidden="1" x14ac:dyDescent="0.25"/>
    <row r="2176" hidden="1" x14ac:dyDescent="0.25"/>
    <row r="2177" hidden="1" x14ac:dyDescent="0.25"/>
    <row r="2178" hidden="1" x14ac:dyDescent="0.25"/>
    <row r="2179" hidden="1" x14ac:dyDescent="0.25"/>
    <row r="2180" hidden="1" x14ac:dyDescent="0.25"/>
    <row r="2181" hidden="1" x14ac:dyDescent="0.25"/>
    <row r="2182" hidden="1" x14ac:dyDescent="0.25"/>
    <row r="2183" hidden="1" x14ac:dyDescent="0.25"/>
    <row r="2184" hidden="1" x14ac:dyDescent="0.25"/>
    <row r="2185" hidden="1" x14ac:dyDescent="0.25"/>
    <row r="2186" hidden="1" x14ac:dyDescent="0.25"/>
    <row r="2187" hidden="1" x14ac:dyDescent="0.25"/>
    <row r="2188" hidden="1" x14ac:dyDescent="0.25"/>
    <row r="2189" hidden="1" x14ac:dyDescent="0.25"/>
    <row r="2190" hidden="1" x14ac:dyDescent="0.25"/>
    <row r="2191" hidden="1" x14ac:dyDescent="0.25"/>
    <row r="2192" hidden="1" x14ac:dyDescent="0.25"/>
    <row r="2193" hidden="1" x14ac:dyDescent="0.25"/>
    <row r="2194" hidden="1" x14ac:dyDescent="0.25"/>
    <row r="2195" hidden="1" x14ac:dyDescent="0.25"/>
    <row r="2196" hidden="1" x14ac:dyDescent="0.25"/>
    <row r="2197" hidden="1" x14ac:dyDescent="0.25"/>
    <row r="2198" hidden="1" x14ac:dyDescent="0.25"/>
    <row r="2199" hidden="1" x14ac:dyDescent="0.25"/>
    <row r="2200" hidden="1" x14ac:dyDescent="0.25"/>
    <row r="2201" hidden="1" x14ac:dyDescent="0.25"/>
    <row r="2202" hidden="1" x14ac:dyDescent="0.25"/>
    <row r="2203" hidden="1" x14ac:dyDescent="0.25"/>
    <row r="2204" hidden="1" x14ac:dyDescent="0.25"/>
    <row r="2205" hidden="1" x14ac:dyDescent="0.25"/>
    <row r="2206" hidden="1" x14ac:dyDescent="0.25"/>
    <row r="2207" hidden="1" x14ac:dyDescent="0.25"/>
    <row r="2208" hidden="1" x14ac:dyDescent="0.25"/>
    <row r="2209" hidden="1" x14ac:dyDescent="0.25"/>
    <row r="2210" hidden="1" x14ac:dyDescent="0.25"/>
    <row r="2211" hidden="1" x14ac:dyDescent="0.25"/>
    <row r="2212" hidden="1" x14ac:dyDescent="0.25"/>
    <row r="2213" hidden="1" x14ac:dyDescent="0.25"/>
    <row r="2214" hidden="1" x14ac:dyDescent="0.25"/>
    <row r="2215" hidden="1" x14ac:dyDescent="0.25"/>
    <row r="2216" hidden="1" x14ac:dyDescent="0.25"/>
    <row r="2217" hidden="1" x14ac:dyDescent="0.25"/>
    <row r="2218" hidden="1" x14ac:dyDescent="0.25"/>
    <row r="2219" hidden="1" x14ac:dyDescent="0.25"/>
    <row r="2220" hidden="1" x14ac:dyDescent="0.25"/>
    <row r="2221" hidden="1" x14ac:dyDescent="0.25"/>
    <row r="2222" hidden="1" x14ac:dyDescent="0.25"/>
    <row r="2223" hidden="1" x14ac:dyDescent="0.25"/>
    <row r="2224" hidden="1" x14ac:dyDescent="0.25"/>
    <row r="2225" hidden="1" x14ac:dyDescent="0.25"/>
    <row r="2226" hidden="1" x14ac:dyDescent="0.25"/>
    <row r="2227" hidden="1" x14ac:dyDescent="0.25"/>
    <row r="2228" hidden="1" x14ac:dyDescent="0.25"/>
    <row r="2229" hidden="1" x14ac:dyDescent="0.25"/>
    <row r="2230" hidden="1" x14ac:dyDescent="0.25"/>
    <row r="2231" hidden="1" x14ac:dyDescent="0.25"/>
    <row r="2232" hidden="1" x14ac:dyDescent="0.25"/>
    <row r="2233" hidden="1" x14ac:dyDescent="0.25"/>
    <row r="2234" hidden="1" x14ac:dyDescent="0.25"/>
    <row r="2235" hidden="1" x14ac:dyDescent="0.25"/>
    <row r="2236" hidden="1" x14ac:dyDescent="0.25"/>
    <row r="2237" hidden="1" x14ac:dyDescent="0.25"/>
    <row r="2238" hidden="1" x14ac:dyDescent="0.25"/>
    <row r="2239" hidden="1" x14ac:dyDescent="0.25"/>
    <row r="2240" hidden="1" x14ac:dyDescent="0.25"/>
    <row r="2241" hidden="1" x14ac:dyDescent="0.25"/>
    <row r="2242" hidden="1" x14ac:dyDescent="0.25"/>
    <row r="2243" hidden="1" x14ac:dyDescent="0.25"/>
    <row r="2244" hidden="1" x14ac:dyDescent="0.25"/>
    <row r="2245" hidden="1" x14ac:dyDescent="0.25"/>
    <row r="2246" hidden="1" x14ac:dyDescent="0.25"/>
    <row r="2247" hidden="1" x14ac:dyDescent="0.25"/>
    <row r="2248" hidden="1" x14ac:dyDescent="0.25"/>
    <row r="2249" hidden="1" x14ac:dyDescent="0.25"/>
    <row r="2250" hidden="1" x14ac:dyDescent="0.25"/>
    <row r="2251" hidden="1" x14ac:dyDescent="0.25"/>
    <row r="2252" hidden="1" x14ac:dyDescent="0.25"/>
    <row r="2253" hidden="1" x14ac:dyDescent="0.25"/>
    <row r="2254" hidden="1" x14ac:dyDescent="0.25"/>
    <row r="2255" hidden="1" x14ac:dyDescent="0.25"/>
    <row r="2256" hidden="1" x14ac:dyDescent="0.25"/>
    <row r="2257" hidden="1" x14ac:dyDescent="0.25"/>
    <row r="2258" hidden="1" x14ac:dyDescent="0.25"/>
    <row r="2259" hidden="1" x14ac:dyDescent="0.25"/>
    <row r="2260" hidden="1" x14ac:dyDescent="0.25"/>
    <row r="2261" hidden="1" x14ac:dyDescent="0.25"/>
    <row r="2262" hidden="1" x14ac:dyDescent="0.25"/>
    <row r="2263" hidden="1" x14ac:dyDescent="0.25"/>
    <row r="2264" hidden="1" x14ac:dyDescent="0.25"/>
    <row r="2265" hidden="1" x14ac:dyDescent="0.25"/>
    <row r="2266" hidden="1" x14ac:dyDescent="0.25"/>
    <row r="2267" hidden="1" x14ac:dyDescent="0.25"/>
    <row r="2268" hidden="1" x14ac:dyDescent="0.25"/>
    <row r="2269" hidden="1" x14ac:dyDescent="0.25"/>
    <row r="2270" hidden="1" x14ac:dyDescent="0.25"/>
    <row r="2271" hidden="1" x14ac:dyDescent="0.25"/>
    <row r="2272" hidden="1" x14ac:dyDescent="0.25"/>
    <row r="2273" hidden="1" x14ac:dyDescent="0.25"/>
    <row r="2274" hidden="1" x14ac:dyDescent="0.25"/>
    <row r="2275" hidden="1" x14ac:dyDescent="0.25"/>
    <row r="2276" hidden="1" x14ac:dyDescent="0.25"/>
    <row r="2277" hidden="1" x14ac:dyDescent="0.25"/>
    <row r="2278" hidden="1" x14ac:dyDescent="0.25"/>
    <row r="2279" hidden="1" x14ac:dyDescent="0.25"/>
    <row r="2280" hidden="1" x14ac:dyDescent="0.25"/>
    <row r="2281" hidden="1" x14ac:dyDescent="0.25"/>
    <row r="2282" hidden="1" x14ac:dyDescent="0.25"/>
    <row r="2283" hidden="1" x14ac:dyDescent="0.25"/>
    <row r="2284" hidden="1" x14ac:dyDescent="0.25"/>
    <row r="2285" hidden="1" x14ac:dyDescent="0.25"/>
    <row r="2286" hidden="1" x14ac:dyDescent="0.25"/>
    <row r="2287" hidden="1" x14ac:dyDescent="0.25"/>
    <row r="2288" hidden="1" x14ac:dyDescent="0.25"/>
    <row r="2289" hidden="1" x14ac:dyDescent="0.25"/>
    <row r="2290" hidden="1" x14ac:dyDescent="0.25"/>
    <row r="2291" hidden="1" x14ac:dyDescent="0.25"/>
    <row r="2292" hidden="1" x14ac:dyDescent="0.25"/>
    <row r="2293" hidden="1" x14ac:dyDescent="0.25"/>
    <row r="2294" hidden="1" x14ac:dyDescent="0.25"/>
    <row r="2295" hidden="1" x14ac:dyDescent="0.25"/>
    <row r="2296" hidden="1" x14ac:dyDescent="0.25"/>
    <row r="2297" hidden="1" x14ac:dyDescent="0.25"/>
    <row r="2298" hidden="1" x14ac:dyDescent="0.25"/>
    <row r="2299" hidden="1" x14ac:dyDescent="0.25"/>
    <row r="2300" hidden="1" x14ac:dyDescent="0.25"/>
    <row r="2301" hidden="1" x14ac:dyDescent="0.25"/>
    <row r="2302" hidden="1" x14ac:dyDescent="0.25"/>
    <row r="2303" hidden="1" x14ac:dyDescent="0.25"/>
    <row r="2304" hidden="1" x14ac:dyDescent="0.25"/>
    <row r="2305" hidden="1" x14ac:dyDescent="0.25"/>
    <row r="2306" hidden="1" x14ac:dyDescent="0.25"/>
    <row r="2307" hidden="1" x14ac:dyDescent="0.25"/>
    <row r="2308" hidden="1" x14ac:dyDescent="0.25"/>
    <row r="2309" hidden="1" x14ac:dyDescent="0.25"/>
    <row r="2310" hidden="1" x14ac:dyDescent="0.25"/>
    <row r="2311" hidden="1" x14ac:dyDescent="0.25"/>
    <row r="2312" hidden="1" x14ac:dyDescent="0.25"/>
    <row r="2313" hidden="1" x14ac:dyDescent="0.25"/>
    <row r="2314" hidden="1" x14ac:dyDescent="0.25"/>
    <row r="2315" hidden="1" x14ac:dyDescent="0.25"/>
    <row r="2316" hidden="1" x14ac:dyDescent="0.25"/>
    <row r="2317" hidden="1" x14ac:dyDescent="0.25"/>
    <row r="2318" hidden="1" x14ac:dyDescent="0.25"/>
    <row r="2319" hidden="1" x14ac:dyDescent="0.25"/>
    <row r="2320" hidden="1" x14ac:dyDescent="0.25"/>
    <row r="2321" hidden="1" x14ac:dyDescent="0.25"/>
    <row r="2322" hidden="1" x14ac:dyDescent="0.25"/>
    <row r="2323" hidden="1" x14ac:dyDescent="0.25"/>
    <row r="2324" hidden="1" x14ac:dyDescent="0.25"/>
    <row r="2325" hidden="1" x14ac:dyDescent="0.25"/>
    <row r="2326" hidden="1" x14ac:dyDescent="0.25"/>
    <row r="2327" hidden="1" x14ac:dyDescent="0.25"/>
    <row r="2328" hidden="1" x14ac:dyDescent="0.25"/>
    <row r="2329" hidden="1" x14ac:dyDescent="0.25"/>
    <row r="2330" hidden="1" x14ac:dyDescent="0.25"/>
    <row r="2331" hidden="1" x14ac:dyDescent="0.25"/>
    <row r="2332" hidden="1" x14ac:dyDescent="0.25"/>
    <row r="2333" hidden="1" x14ac:dyDescent="0.25"/>
    <row r="2334" hidden="1" x14ac:dyDescent="0.25"/>
    <row r="2335" hidden="1" x14ac:dyDescent="0.25"/>
    <row r="2336" hidden="1" x14ac:dyDescent="0.25"/>
    <row r="2337" hidden="1" x14ac:dyDescent="0.25"/>
    <row r="2338" hidden="1" x14ac:dyDescent="0.25"/>
    <row r="2339" hidden="1" x14ac:dyDescent="0.25"/>
    <row r="2340" hidden="1" x14ac:dyDescent="0.25"/>
    <row r="2341" hidden="1" x14ac:dyDescent="0.25"/>
    <row r="2342" hidden="1" x14ac:dyDescent="0.25"/>
    <row r="2343" hidden="1" x14ac:dyDescent="0.25"/>
    <row r="2344" hidden="1" x14ac:dyDescent="0.25"/>
    <row r="2345" hidden="1" x14ac:dyDescent="0.25"/>
    <row r="2346" hidden="1" x14ac:dyDescent="0.25"/>
    <row r="2347" hidden="1" x14ac:dyDescent="0.25"/>
    <row r="2348" hidden="1" x14ac:dyDescent="0.25"/>
    <row r="2349" hidden="1" x14ac:dyDescent="0.25"/>
    <row r="2350" hidden="1" x14ac:dyDescent="0.25"/>
    <row r="2351" hidden="1" x14ac:dyDescent="0.25"/>
    <row r="2352" hidden="1" x14ac:dyDescent="0.25"/>
    <row r="2353" hidden="1" x14ac:dyDescent="0.25"/>
    <row r="2354" hidden="1" x14ac:dyDescent="0.25"/>
    <row r="2355" hidden="1" x14ac:dyDescent="0.25"/>
    <row r="2356" hidden="1" x14ac:dyDescent="0.25"/>
    <row r="2357" hidden="1" x14ac:dyDescent="0.25"/>
    <row r="2358" hidden="1" x14ac:dyDescent="0.25"/>
    <row r="2359" hidden="1" x14ac:dyDescent="0.25"/>
    <row r="2360" hidden="1" x14ac:dyDescent="0.25"/>
    <row r="2361" hidden="1" x14ac:dyDescent="0.25"/>
    <row r="2362" hidden="1" x14ac:dyDescent="0.25"/>
    <row r="2363" hidden="1" x14ac:dyDescent="0.25"/>
    <row r="2364" hidden="1" x14ac:dyDescent="0.25"/>
    <row r="2365" hidden="1" x14ac:dyDescent="0.25"/>
    <row r="2366" hidden="1" x14ac:dyDescent="0.25"/>
    <row r="2367" hidden="1" x14ac:dyDescent="0.25"/>
    <row r="2368" hidden="1" x14ac:dyDescent="0.25"/>
    <row r="2369" hidden="1" x14ac:dyDescent="0.25"/>
    <row r="2370" hidden="1" x14ac:dyDescent="0.25"/>
    <row r="2371" hidden="1" x14ac:dyDescent="0.25"/>
    <row r="2372" hidden="1" x14ac:dyDescent="0.25"/>
    <row r="2373" hidden="1" x14ac:dyDescent="0.25"/>
    <row r="2374" hidden="1" x14ac:dyDescent="0.25"/>
    <row r="2375" hidden="1" x14ac:dyDescent="0.25"/>
    <row r="2376" hidden="1" x14ac:dyDescent="0.25"/>
    <row r="2377" hidden="1" x14ac:dyDescent="0.25"/>
    <row r="2378" hidden="1" x14ac:dyDescent="0.25"/>
    <row r="2379" hidden="1" x14ac:dyDescent="0.25"/>
    <row r="2380" hidden="1" x14ac:dyDescent="0.25"/>
    <row r="2381" hidden="1" x14ac:dyDescent="0.25"/>
    <row r="2382" hidden="1" x14ac:dyDescent="0.25"/>
    <row r="2383" hidden="1" x14ac:dyDescent="0.25"/>
    <row r="2384" hidden="1" x14ac:dyDescent="0.25"/>
    <row r="2385" hidden="1" x14ac:dyDescent="0.25"/>
    <row r="2386" hidden="1" x14ac:dyDescent="0.25"/>
    <row r="2387" hidden="1" x14ac:dyDescent="0.25"/>
    <row r="2388" hidden="1" x14ac:dyDescent="0.25"/>
    <row r="2389" hidden="1" x14ac:dyDescent="0.25"/>
    <row r="2390" hidden="1" x14ac:dyDescent="0.25"/>
    <row r="2391" hidden="1" x14ac:dyDescent="0.25"/>
    <row r="2392" hidden="1" x14ac:dyDescent="0.25"/>
    <row r="2393" hidden="1" x14ac:dyDescent="0.25"/>
    <row r="2394" hidden="1" x14ac:dyDescent="0.25"/>
    <row r="2395" hidden="1" x14ac:dyDescent="0.25"/>
    <row r="2396" hidden="1" x14ac:dyDescent="0.25"/>
    <row r="2397" hidden="1" x14ac:dyDescent="0.25"/>
    <row r="2398" hidden="1" x14ac:dyDescent="0.25"/>
    <row r="2399" hidden="1" x14ac:dyDescent="0.25"/>
    <row r="2400" hidden="1" x14ac:dyDescent="0.25"/>
    <row r="2401" hidden="1" x14ac:dyDescent="0.25"/>
    <row r="2402" hidden="1" x14ac:dyDescent="0.25"/>
    <row r="2403" hidden="1" x14ac:dyDescent="0.25"/>
    <row r="2404" hidden="1" x14ac:dyDescent="0.25"/>
    <row r="2405" hidden="1" x14ac:dyDescent="0.25"/>
    <row r="2406" hidden="1" x14ac:dyDescent="0.25"/>
    <row r="2407" hidden="1" x14ac:dyDescent="0.25"/>
    <row r="2408" hidden="1" x14ac:dyDescent="0.25"/>
    <row r="2409" hidden="1" x14ac:dyDescent="0.25"/>
    <row r="2410" hidden="1" x14ac:dyDescent="0.25"/>
    <row r="2411" hidden="1" x14ac:dyDescent="0.25"/>
    <row r="2412" hidden="1" x14ac:dyDescent="0.25"/>
    <row r="2413" hidden="1" x14ac:dyDescent="0.25"/>
    <row r="2414" hidden="1" x14ac:dyDescent="0.25"/>
    <row r="2415" hidden="1" x14ac:dyDescent="0.25"/>
    <row r="2416" hidden="1" x14ac:dyDescent="0.25"/>
    <row r="2417" hidden="1" x14ac:dyDescent="0.25"/>
    <row r="2418" hidden="1" x14ac:dyDescent="0.25"/>
    <row r="2419" hidden="1" x14ac:dyDescent="0.25"/>
    <row r="2420" hidden="1" x14ac:dyDescent="0.25"/>
    <row r="2421" hidden="1" x14ac:dyDescent="0.25"/>
    <row r="2422" hidden="1" x14ac:dyDescent="0.25"/>
    <row r="2423" hidden="1" x14ac:dyDescent="0.25"/>
    <row r="2424" hidden="1" x14ac:dyDescent="0.25"/>
    <row r="2425" hidden="1" x14ac:dyDescent="0.25"/>
    <row r="2426" hidden="1" x14ac:dyDescent="0.25"/>
    <row r="2427" hidden="1" x14ac:dyDescent="0.25"/>
    <row r="2428" hidden="1" x14ac:dyDescent="0.25"/>
    <row r="2429" hidden="1" x14ac:dyDescent="0.25"/>
    <row r="2430" hidden="1" x14ac:dyDescent="0.25"/>
    <row r="2431" hidden="1" x14ac:dyDescent="0.25"/>
    <row r="2432" hidden="1" x14ac:dyDescent="0.25"/>
    <row r="2433" hidden="1" x14ac:dyDescent="0.25"/>
    <row r="2434" hidden="1" x14ac:dyDescent="0.25"/>
    <row r="2435" hidden="1" x14ac:dyDescent="0.25"/>
    <row r="2436" hidden="1" x14ac:dyDescent="0.25"/>
    <row r="2437" hidden="1" x14ac:dyDescent="0.25"/>
    <row r="2438" hidden="1" x14ac:dyDescent="0.25"/>
    <row r="2439" hidden="1" x14ac:dyDescent="0.25"/>
    <row r="2440" hidden="1" x14ac:dyDescent="0.25"/>
    <row r="2441" hidden="1" x14ac:dyDescent="0.25"/>
    <row r="2442" hidden="1" x14ac:dyDescent="0.25"/>
    <row r="2443" hidden="1" x14ac:dyDescent="0.25"/>
    <row r="2444" hidden="1" x14ac:dyDescent="0.25"/>
    <row r="2445" hidden="1" x14ac:dyDescent="0.25"/>
    <row r="2446" hidden="1" x14ac:dyDescent="0.25"/>
    <row r="2447" hidden="1" x14ac:dyDescent="0.25"/>
    <row r="2448" hidden="1" x14ac:dyDescent="0.25"/>
    <row r="2449" hidden="1" x14ac:dyDescent="0.25"/>
    <row r="2450" hidden="1" x14ac:dyDescent="0.25"/>
    <row r="2451" hidden="1" x14ac:dyDescent="0.25"/>
    <row r="2452" hidden="1" x14ac:dyDescent="0.25"/>
    <row r="2453" hidden="1" x14ac:dyDescent="0.25"/>
    <row r="2454" hidden="1" x14ac:dyDescent="0.25"/>
    <row r="2455" hidden="1" x14ac:dyDescent="0.25"/>
    <row r="2456" hidden="1" x14ac:dyDescent="0.25"/>
    <row r="2457" hidden="1" x14ac:dyDescent="0.25"/>
    <row r="2458" hidden="1" x14ac:dyDescent="0.25"/>
    <row r="2459" hidden="1" x14ac:dyDescent="0.25"/>
    <row r="2460" hidden="1" x14ac:dyDescent="0.25"/>
    <row r="2461" hidden="1" x14ac:dyDescent="0.25"/>
    <row r="2462" hidden="1" x14ac:dyDescent="0.25"/>
    <row r="2463" hidden="1" x14ac:dyDescent="0.25"/>
    <row r="2464" hidden="1" x14ac:dyDescent="0.25"/>
    <row r="2465" hidden="1" x14ac:dyDescent="0.25"/>
    <row r="2466" hidden="1" x14ac:dyDescent="0.25"/>
    <row r="2467" hidden="1" x14ac:dyDescent="0.25"/>
    <row r="2468" hidden="1" x14ac:dyDescent="0.25"/>
    <row r="2469" hidden="1" x14ac:dyDescent="0.25"/>
    <row r="2470" hidden="1" x14ac:dyDescent="0.25"/>
    <row r="2471" hidden="1" x14ac:dyDescent="0.25"/>
    <row r="2472" hidden="1" x14ac:dyDescent="0.25"/>
    <row r="2473" hidden="1" x14ac:dyDescent="0.25"/>
    <row r="2474" hidden="1" x14ac:dyDescent="0.25"/>
    <row r="2475" hidden="1" x14ac:dyDescent="0.25"/>
    <row r="2476" hidden="1" x14ac:dyDescent="0.25"/>
    <row r="2477" hidden="1" x14ac:dyDescent="0.25"/>
    <row r="2478" hidden="1" x14ac:dyDescent="0.25"/>
    <row r="2479" hidden="1" x14ac:dyDescent="0.25"/>
    <row r="2480" hidden="1" x14ac:dyDescent="0.25"/>
    <row r="2481" hidden="1" x14ac:dyDescent="0.25"/>
    <row r="2482" hidden="1" x14ac:dyDescent="0.25"/>
    <row r="2483" hidden="1" x14ac:dyDescent="0.25"/>
    <row r="2484" hidden="1" x14ac:dyDescent="0.25"/>
    <row r="2485" hidden="1" x14ac:dyDescent="0.25"/>
    <row r="2486" hidden="1" x14ac:dyDescent="0.25"/>
    <row r="2487" hidden="1" x14ac:dyDescent="0.25"/>
    <row r="2488" hidden="1" x14ac:dyDescent="0.25"/>
    <row r="2489" hidden="1" x14ac:dyDescent="0.25"/>
    <row r="2490" hidden="1" x14ac:dyDescent="0.25"/>
    <row r="2491" hidden="1" x14ac:dyDescent="0.25"/>
    <row r="2492" hidden="1" x14ac:dyDescent="0.25"/>
    <row r="2493" hidden="1" x14ac:dyDescent="0.25"/>
    <row r="2494" hidden="1" x14ac:dyDescent="0.25"/>
    <row r="2495" hidden="1" x14ac:dyDescent="0.25"/>
    <row r="2496" hidden="1" x14ac:dyDescent="0.25"/>
    <row r="2497" hidden="1" x14ac:dyDescent="0.25"/>
    <row r="2498" hidden="1" x14ac:dyDescent="0.25"/>
    <row r="2499" hidden="1" x14ac:dyDescent="0.25"/>
    <row r="2500" hidden="1" x14ac:dyDescent="0.25"/>
    <row r="2501" hidden="1" x14ac:dyDescent="0.25"/>
    <row r="2502" hidden="1" x14ac:dyDescent="0.25"/>
    <row r="2503" hidden="1" x14ac:dyDescent="0.25"/>
    <row r="2504" hidden="1" x14ac:dyDescent="0.25"/>
    <row r="2505" hidden="1" x14ac:dyDescent="0.25"/>
    <row r="2506" hidden="1" x14ac:dyDescent="0.25"/>
    <row r="2507" hidden="1" x14ac:dyDescent="0.25"/>
    <row r="2508" hidden="1" x14ac:dyDescent="0.25"/>
    <row r="2509" hidden="1" x14ac:dyDescent="0.25"/>
    <row r="2510" hidden="1" x14ac:dyDescent="0.25"/>
    <row r="2511" hidden="1" x14ac:dyDescent="0.25"/>
    <row r="2512" hidden="1" x14ac:dyDescent="0.25"/>
    <row r="2513" hidden="1" x14ac:dyDescent="0.25"/>
    <row r="2514" hidden="1" x14ac:dyDescent="0.25"/>
    <row r="2515" hidden="1" x14ac:dyDescent="0.25"/>
    <row r="2516" hidden="1" x14ac:dyDescent="0.25"/>
    <row r="2517" hidden="1" x14ac:dyDescent="0.25"/>
    <row r="2518" hidden="1" x14ac:dyDescent="0.25"/>
    <row r="2519" hidden="1" x14ac:dyDescent="0.25"/>
    <row r="2520" hidden="1" x14ac:dyDescent="0.25"/>
    <row r="2521" hidden="1" x14ac:dyDescent="0.25"/>
    <row r="2522" hidden="1" x14ac:dyDescent="0.25"/>
    <row r="2523" hidden="1" x14ac:dyDescent="0.25"/>
    <row r="2524" hidden="1" x14ac:dyDescent="0.25"/>
    <row r="2525" hidden="1" x14ac:dyDescent="0.25"/>
    <row r="2526" hidden="1" x14ac:dyDescent="0.25"/>
    <row r="2527" hidden="1" x14ac:dyDescent="0.25"/>
    <row r="2528" hidden="1" x14ac:dyDescent="0.25"/>
    <row r="2529" hidden="1" x14ac:dyDescent="0.25"/>
    <row r="2530" hidden="1" x14ac:dyDescent="0.25"/>
    <row r="2531" hidden="1" x14ac:dyDescent="0.25"/>
    <row r="2532" hidden="1" x14ac:dyDescent="0.25"/>
    <row r="2533" hidden="1" x14ac:dyDescent="0.25"/>
    <row r="2534" hidden="1" x14ac:dyDescent="0.25"/>
    <row r="2535" hidden="1" x14ac:dyDescent="0.25"/>
    <row r="2536" hidden="1" x14ac:dyDescent="0.25"/>
    <row r="2537" hidden="1" x14ac:dyDescent="0.25"/>
    <row r="2538" hidden="1" x14ac:dyDescent="0.25"/>
    <row r="2539" hidden="1" x14ac:dyDescent="0.25"/>
    <row r="2540" hidden="1" x14ac:dyDescent="0.25"/>
    <row r="2541" hidden="1" x14ac:dyDescent="0.25"/>
    <row r="2542" hidden="1" x14ac:dyDescent="0.25"/>
    <row r="2543" hidden="1" x14ac:dyDescent="0.25"/>
    <row r="2544" hidden="1" x14ac:dyDescent="0.25"/>
    <row r="2545" hidden="1" x14ac:dyDescent="0.25"/>
    <row r="2546" hidden="1" x14ac:dyDescent="0.25"/>
    <row r="2547" hidden="1" x14ac:dyDescent="0.25"/>
    <row r="2548" hidden="1" x14ac:dyDescent="0.25"/>
    <row r="2549" hidden="1" x14ac:dyDescent="0.25"/>
    <row r="2550" hidden="1" x14ac:dyDescent="0.25"/>
    <row r="2551" hidden="1" x14ac:dyDescent="0.25"/>
    <row r="2552" hidden="1" x14ac:dyDescent="0.25"/>
    <row r="2553" hidden="1" x14ac:dyDescent="0.25"/>
    <row r="2554" hidden="1" x14ac:dyDescent="0.25"/>
    <row r="2555" hidden="1" x14ac:dyDescent="0.25"/>
    <row r="2556" hidden="1" x14ac:dyDescent="0.25"/>
    <row r="2557" hidden="1" x14ac:dyDescent="0.25"/>
    <row r="2558" hidden="1" x14ac:dyDescent="0.25"/>
    <row r="2559" hidden="1" x14ac:dyDescent="0.25"/>
    <row r="2560" hidden="1" x14ac:dyDescent="0.25"/>
    <row r="2561" hidden="1" x14ac:dyDescent="0.25"/>
    <row r="2562" hidden="1" x14ac:dyDescent="0.25"/>
    <row r="2563" hidden="1" x14ac:dyDescent="0.25"/>
    <row r="2564" hidden="1" x14ac:dyDescent="0.25"/>
    <row r="2565" hidden="1" x14ac:dyDescent="0.25"/>
    <row r="2566" hidden="1" x14ac:dyDescent="0.25"/>
    <row r="2567" hidden="1" x14ac:dyDescent="0.25"/>
    <row r="2568" hidden="1" x14ac:dyDescent="0.25"/>
    <row r="2569" hidden="1" x14ac:dyDescent="0.25"/>
    <row r="2570" hidden="1" x14ac:dyDescent="0.25"/>
    <row r="2571" hidden="1" x14ac:dyDescent="0.25"/>
    <row r="2572" hidden="1" x14ac:dyDescent="0.25"/>
    <row r="2573" hidden="1" x14ac:dyDescent="0.25"/>
    <row r="2574" hidden="1" x14ac:dyDescent="0.25"/>
    <row r="2575" hidden="1" x14ac:dyDescent="0.25"/>
    <row r="2576" hidden="1" x14ac:dyDescent="0.25"/>
    <row r="2577" hidden="1" x14ac:dyDescent="0.25"/>
    <row r="2578" hidden="1" x14ac:dyDescent="0.25"/>
    <row r="2579" hidden="1" x14ac:dyDescent="0.25"/>
    <row r="2580" hidden="1" x14ac:dyDescent="0.25"/>
    <row r="2581" hidden="1" x14ac:dyDescent="0.25"/>
    <row r="2582" hidden="1" x14ac:dyDescent="0.25"/>
    <row r="2583" hidden="1" x14ac:dyDescent="0.25"/>
    <row r="2584" hidden="1" x14ac:dyDescent="0.25"/>
    <row r="2585" hidden="1" x14ac:dyDescent="0.25"/>
    <row r="2586" hidden="1" x14ac:dyDescent="0.25"/>
    <row r="2587" hidden="1" x14ac:dyDescent="0.25"/>
    <row r="2588" hidden="1" x14ac:dyDescent="0.25"/>
    <row r="2589" hidden="1" x14ac:dyDescent="0.25"/>
    <row r="2590" hidden="1" x14ac:dyDescent="0.25"/>
    <row r="2591" hidden="1" x14ac:dyDescent="0.25"/>
    <row r="2592" hidden="1" x14ac:dyDescent="0.25"/>
    <row r="2593" hidden="1" x14ac:dyDescent="0.25"/>
    <row r="2594" hidden="1" x14ac:dyDescent="0.25"/>
    <row r="2595" hidden="1" x14ac:dyDescent="0.25"/>
    <row r="2596" hidden="1" x14ac:dyDescent="0.25"/>
    <row r="2597" hidden="1" x14ac:dyDescent="0.25"/>
    <row r="2598" hidden="1" x14ac:dyDescent="0.25"/>
    <row r="2599" hidden="1" x14ac:dyDescent="0.25"/>
    <row r="2600" hidden="1" x14ac:dyDescent="0.25"/>
    <row r="2601" hidden="1" x14ac:dyDescent="0.25"/>
    <row r="2602" hidden="1" x14ac:dyDescent="0.25"/>
    <row r="2603" hidden="1" x14ac:dyDescent="0.25"/>
    <row r="2604" hidden="1" x14ac:dyDescent="0.25"/>
    <row r="2605" hidden="1" x14ac:dyDescent="0.25"/>
    <row r="2606" hidden="1" x14ac:dyDescent="0.25"/>
    <row r="2607" hidden="1" x14ac:dyDescent="0.25"/>
    <row r="2608" hidden="1" x14ac:dyDescent="0.25"/>
    <row r="2609" hidden="1" x14ac:dyDescent="0.25"/>
    <row r="2610" hidden="1" x14ac:dyDescent="0.25"/>
    <row r="2611" hidden="1" x14ac:dyDescent="0.25"/>
    <row r="2612" hidden="1" x14ac:dyDescent="0.25"/>
    <row r="2613" hidden="1" x14ac:dyDescent="0.25"/>
    <row r="2614" hidden="1" x14ac:dyDescent="0.25"/>
    <row r="2615" hidden="1" x14ac:dyDescent="0.25"/>
    <row r="2616" hidden="1" x14ac:dyDescent="0.25"/>
    <row r="2617" hidden="1" x14ac:dyDescent="0.25"/>
    <row r="2618" hidden="1" x14ac:dyDescent="0.25"/>
    <row r="2619" hidden="1" x14ac:dyDescent="0.25"/>
    <row r="2620" hidden="1" x14ac:dyDescent="0.25"/>
    <row r="2621" hidden="1" x14ac:dyDescent="0.25"/>
    <row r="2622" hidden="1" x14ac:dyDescent="0.25"/>
    <row r="2623" hidden="1" x14ac:dyDescent="0.25"/>
    <row r="2624" hidden="1" x14ac:dyDescent="0.25"/>
    <row r="2625" hidden="1" x14ac:dyDescent="0.25"/>
    <row r="2626" hidden="1" x14ac:dyDescent="0.25"/>
    <row r="2627" hidden="1" x14ac:dyDescent="0.25"/>
    <row r="2628" hidden="1" x14ac:dyDescent="0.25"/>
    <row r="2629" hidden="1" x14ac:dyDescent="0.25"/>
    <row r="2630" hidden="1" x14ac:dyDescent="0.25"/>
    <row r="2631" hidden="1" x14ac:dyDescent="0.25"/>
    <row r="2632" hidden="1" x14ac:dyDescent="0.25"/>
    <row r="2633" hidden="1" x14ac:dyDescent="0.25"/>
    <row r="2634" hidden="1" x14ac:dyDescent="0.25"/>
    <row r="2635" hidden="1" x14ac:dyDescent="0.25"/>
    <row r="2636" hidden="1" x14ac:dyDescent="0.25"/>
    <row r="2637" hidden="1" x14ac:dyDescent="0.25"/>
    <row r="2638" hidden="1" x14ac:dyDescent="0.25"/>
    <row r="2639" hidden="1" x14ac:dyDescent="0.25"/>
    <row r="2640" hidden="1" x14ac:dyDescent="0.25"/>
    <row r="2641" hidden="1" x14ac:dyDescent="0.25"/>
    <row r="2642" hidden="1" x14ac:dyDescent="0.25"/>
    <row r="2643" hidden="1" x14ac:dyDescent="0.25"/>
    <row r="2644" hidden="1" x14ac:dyDescent="0.25"/>
    <row r="2645" hidden="1" x14ac:dyDescent="0.25"/>
    <row r="2646" hidden="1" x14ac:dyDescent="0.25"/>
    <row r="2647" hidden="1" x14ac:dyDescent="0.25"/>
    <row r="2648" hidden="1" x14ac:dyDescent="0.25"/>
    <row r="2649" hidden="1" x14ac:dyDescent="0.25"/>
    <row r="2650" hidden="1" x14ac:dyDescent="0.25"/>
    <row r="2651" hidden="1" x14ac:dyDescent="0.25"/>
    <row r="2652" hidden="1" x14ac:dyDescent="0.25"/>
    <row r="2653" hidden="1" x14ac:dyDescent="0.25"/>
    <row r="2654" hidden="1" x14ac:dyDescent="0.25"/>
    <row r="2655" hidden="1" x14ac:dyDescent="0.25"/>
    <row r="2656" hidden="1" x14ac:dyDescent="0.25"/>
    <row r="2657" hidden="1" x14ac:dyDescent="0.25"/>
    <row r="2658" hidden="1" x14ac:dyDescent="0.25"/>
    <row r="2659" hidden="1" x14ac:dyDescent="0.25"/>
    <row r="2660" hidden="1" x14ac:dyDescent="0.25"/>
    <row r="2661" hidden="1" x14ac:dyDescent="0.25"/>
    <row r="2662" hidden="1" x14ac:dyDescent="0.25"/>
    <row r="2663" hidden="1" x14ac:dyDescent="0.25"/>
    <row r="2664" hidden="1" x14ac:dyDescent="0.25"/>
    <row r="2665" hidden="1" x14ac:dyDescent="0.25"/>
    <row r="2666" hidden="1" x14ac:dyDescent="0.25"/>
    <row r="2667" hidden="1" x14ac:dyDescent="0.25"/>
    <row r="2668" hidden="1" x14ac:dyDescent="0.25"/>
    <row r="2669" hidden="1" x14ac:dyDescent="0.25"/>
    <row r="2670" hidden="1" x14ac:dyDescent="0.25"/>
    <row r="2671" hidden="1" x14ac:dyDescent="0.25"/>
    <row r="2672" hidden="1" x14ac:dyDescent="0.25"/>
    <row r="2673" hidden="1" x14ac:dyDescent="0.25"/>
    <row r="2674" hidden="1" x14ac:dyDescent="0.25"/>
    <row r="2675" hidden="1" x14ac:dyDescent="0.25"/>
    <row r="2676" hidden="1" x14ac:dyDescent="0.25"/>
    <row r="2677" hidden="1" x14ac:dyDescent="0.25"/>
    <row r="2678" hidden="1" x14ac:dyDescent="0.25"/>
    <row r="2679" hidden="1" x14ac:dyDescent="0.25"/>
    <row r="2680" hidden="1" x14ac:dyDescent="0.25"/>
    <row r="2681" hidden="1" x14ac:dyDescent="0.25"/>
    <row r="2682" hidden="1" x14ac:dyDescent="0.25"/>
    <row r="2683" hidden="1" x14ac:dyDescent="0.25"/>
    <row r="2684" hidden="1" x14ac:dyDescent="0.25"/>
    <row r="2685" hidden="1" x14ac:dyDescent="0.25"/>
    <row r="2686" hidden="1" x14ac:dyDescent="0.25"/>
    <row r="2687" hidden="1" x14ac:dyDescent="0.25"/>
    <row r="2688" hidden="1" x14ac:dyDescent="0.25"/>
    <row r="2689" hidden="1" x14ac:dyDescent="0.25"/>
    <row r="2690" hidden="1" x14ac:dyDescent="0.25"/>
    <row r="2691" hidden="1" x14ac:dyDescent="0.25"/>
    <row r="2692" hidden="1" x14ac:dyDescent="0.25"/>
    <row r="2693" hidden="1" x14ac:dyDescent="0.25"/>
    <row r="2694" hidden="1" x14ac:dyDescent="0.25"/>
    <row r="2695" hidden="1" x14ac:dyDescent="0.25"/>
    <row r="2696" hidden="1" x14ac:dyDescent="0.25"/>
    <row r="2697" hidden="1" x14ac:dyDescent="0.25"/>
    <row r="2698" hidden="1" x14ac:dyDescent="0.25"/>
    <row r="2699" hidden="1" x14ac:dyDescent="0.25"/>
    <row r="2700" hidden="1" x14ac:dyDescent="0.25"/>
    <row r="2701" hidden="1" x14ac:dyDescent="0.25"/>
    <row r="2702" hidden="1" x14ac:dyDescent="0.25"/>
    <row r="2703" hidden="1" x14ac:dyDescent="0.25"/>
    <row r="2704" hidden="1" x14ac:dyDescent="0.25"/>
    <row r="2705" hidden="1" x14ac:dyDescent="0.25"/>
    <row r="2706" hidden="1" x14ac:dyDescent="0.25"/>
    <row r="2707" hidden="1" x14ac:dyDescent="0.25"/>
    <row r="2708" hidden="1" x14ac:dyDescent="0.25"/>
    <row r="2709" hidden="1" x14ac:dyDescent="0.25"/>
    <row r="2710" hidden="1" x14ac:dyDescent="0.25"/>
    <row r="2711" hidden="1" x14ac:dyDescent="0.25"/>
    <row r="2712" hidden="1" x14ac:dyDescent="0.25"/>
    <row r="2713" hidden="1" x14ac:dyDescent="0.25"/>
    <row r="2714" hidden="1" x14ac:dyDescent="0.25"/>
    <row r="2715" hidden="1" x14ac:dyDescent="0.25"/>
    <row r="2716" hidden="1" x14ac:dyDescent="0.25"/>
    <row r="2717" hidden="1" x14ac:dyDescent="0.25"/>
    <row r="2718" hidden="1" x14ac:dyDescent="0.25"/>
    <row r="2719" hidden="1" x14ac:dyDescent="0.25"/>
    <row r="2720" hidden="1" x14ac:dyDescent="0.25"/>
    <row r="2721" hidden="1" x14ac:dyDescent="0.25"/>
    <row r="2722" hidden="1" x14ac:dyDescent="0.25"/>
    <row r="2723" hidden="1" x14ac:dyDescent="0.25"/>
    <row r="2724" hidden="1" x14ac:dyDescent="0.25"/>
    <row r="2725" hidden="1" x14ac:dyDescent="0.25"/>
    <row r="2726" hidden="1" x14ac:dyDescent="0.25"/>
    <row r="2727" hidden="1" x14ac:dyDescent="0.25"/>
    <row r="2728" hidden="1" x14ac:dyDescent="0.25"/>
    <row r="2729" hidden="1" x14ac:dyDescent="0.25"/>
    <row r="2730" hidden="1" x14ac:dyDescent="0.25"/>
    <row r="2731" hidden="1" x14ac:dyDescent="0.25"/>
    <row r="2732" hidden="1" x14ac:dyDescent="0.25"/>
    <row r="2733" hidden="1" x14ac:dyDescent="0.25"/>
    <row r="2734" hidden="1" x14ac:dyDescent="0.25"/>
    <row r="2735" hidden="1" x14ac:dyDescent="0.25"/>
    <row r="2736" hidden="1" x14ac:dyDescent="0.25"/>
    <row r="2737" hidden="1" x14ac:dyDescent="0.25"/>
    <row r="2738" hidden="1" x14ac:dyDescent="0.25"/>
    <row r="2739" hidden="1" x14ac:dyDescent="0.25"/>
    <row r="2740" hidden="1" x14ac:dyDescent="0.25"/>
    <row r="2741" hidden="1" x14ac:dyDescent="0.25"/>
    <row r="2742" hidden="1" x14ac:dyDescent="0.25"/>
    <row r="2743" hidden="1" x14ac:dyDescent="0.25"/>
    <row r="2744" hidden="1" x14ac:dyDescent="0.25"/>
    <row r="2745" hidden="1" x14ac:dyDescent="0.25"/>
    <row r="2746" hidden="1" x14ac:dyDescent="0.25"/>
    <row r="2747" hidden="1" x14ac:dyDescent="0.25"/>
    <row r="2748" hidden="1" x14ac:dyDescent="0.25"/>
    <row r="2749" hidden="1" x14ac:dyDescent="0.25"/>
    <row r="2750" hidden="1" x14ac:dyDescent="0.25"/>
    <row r="2751" hidden="1" x14ac:dyDescent="0.25"/>
    <row r="2752" hidden="1" x14ac:dyDescent="0.25"/>
    <row r="2753" hidden="1" x14ac:dyDescent="0.25"/>
    <row r="2754" hidden="1" x14ac:dyDescent="0.25"/>
    <row r="2755" hidden="1" x14ac:dyDescent="0.25"/>
    <row r="2756" hidden="1" x14ac:dyDescent="0.25"/>
    <row r="2757" hidden="1" x14ac:dyDescent="0.25"/>
    <row r="2758" hidden="1" x14ac:dyDescent="0.25"/>
    <row r="2759" hidden="1" x14ac:dyDescent="0.25"/>
    <row r="2760" hidden="1" x14ac:dyDescent="0.25"/>
    <row r="2761" hidden="1" x14ac:dyDescent="0.25"/>
    <row r="2762" hidden="1" x14ac:dyDescent="0.25"/>
    <row r="2763" hidden="1" x14ac:dyDescent="0.25"/>
    <row r="2764" hidden="1" x14ac:dyDescent="0.25"/>
    <row r="2765" hidden="1" x14ac:dyDescent="0.25"/>
    <row r="2766" hidden="1" x14ac:dyDescent="0.25"/>
    <row r="2767" hidden="1" x14ac:dyDescent="0.25"/>
    <row r="2768" hidden="1" x14ac:dyDescent="0.25"/>
    <row r="2769" hidden="1" x14ac:dyDescent="0.25"/>
    <row r="2770" hidden="1" x14ac:dyDescent="0.25"/>
    <row r="2771" hidden="1" x14ac:dyDescent="0.25"/>
    <row r="2772" hidden="1" x14ac:dyDescent="0.25"/>
    <row r="2773" hidden="1" x14ac:dyDescent="0.25"/>
    <row r="2774" hidden="1" x14ac:dyDescent="0.25"/>
    <row r="2775" hidden="1" x14ac:dyDescent="0.25"/>
    <row r="2776" hidden="1" x14ac:dyDescent="0.25"/>
    <row r="2777" hidden="1" x14ac:dyDescent="0.25"/>
    <row r="2778" hidden="1" x14ac:dyDescent="0.25"/>
    <row r="2779" hidden="1" x14ac:dyDescent="0.25"/>
    <row r="2780" hidden="1" x14ac:dyDescent="0.25"/>
    <row r="2781" hidden="1" x14ac:dyDescent="0.25"/>
    <row r="2782" hidden="1" x14ac:dyDescent="0.25"/>
    <row r="2783" hidden="1" x14ac:dyDescent="0.25"/>
    <row r="2784" hidden="1" x14ac:dyDescent="0.25"/>
    <row r="2785" hidden="1" x14ac:dyDescent="0.25"/>
    <row r="2786" hidden="1" x14ac:dyDescent="0.25"/>
    <row r="2787" hidden="1" x14ac:dyDescent="0.25"/>
    <row r="2788" hidden="1" x14ac:dyDescent="0.25"/>
    <row r="2789" hidden="1" x14ac:dyDescent="0.25"/>
    <row r="2790" hidden="1" x14ac:dyDescent="0.25"/>
    <row r="2791" hidden="1" x14ac:dyDescent="0.25"/>
    <row r="2792" hidden="1" x14ac:dyDescent="0.25"/>
    <row r="2793" hidden="1" x14ac:dyDescent="0.25"/>
    <row r="2794" hidden="1" x14ac:dyDescent="0.25"/>
    <row r="2795" hidden="1" x14ac:dyDescent="0.25"/>
    <row r="2796" hidden="1" x14ac:dyDescent="0.25"/>
    <row r="2797" hidden="1" x14ac:dyDescent="0.25"/>
    <row r="2798" hidden="1" x14ac:dyDescent="0.25"/>
    <row r="2799" hidden="1" x14ac:dyDescent="0.25"/>
    <row r="2800" hidden="1" x14ac:dyDescent="0.25"/>
    <row r="2801" hidden="1" x14ac:dyDescent="0.25"/>
    <row r="2802" hidden="1" x14ac:dyDescent="0.25"/>
    <row r="2803" hidden="1" x14ac:dyDescent="0.25"/>
    <row r="2804" hidden="1" x14ac:dyDescent="0.25"/>
    <row r="2805" hidden="1" x14ac:dyDescent="0.25"/>
    <row r="2806" hidden="1" x14ac:dyDescent="0.25"/>
    <row r="2807" hidden="1" x14ac:dyDescent="0.25"/>
    <row r="2808" hidden="1" x14ac:dyDescent="0.25"/>
    <row r="2809" hidden="1" x14ac:dyDescent="0.25"/>
    <row r="2810" hidden="1" x14ac:dyDescent="0.25"/>
    <row r="2811" hidden="1" x14ac:dyDescent="0.25"/>
    <row r="2812" hidden="1" x14ac:dyDescent="0.25"/>
    <row r="2813" hidden="1" x14ac:dyDescent="0.25"/>
    <row r="2814" hidden="1" x14ac:dyDescent="0.25"/>
    <row r="2815" hidden="1" x14ac:dyDescent="0.25"/>
    <row r="2816" hidden="1" x14ac:dyDescent="0.25"/>
    <row r="2817" hidden="1" x14ac:dyDescent="0.25"/>
    <row r="2818" hidden="1" x14ac:dyDescent="0.25"/>
    <row r="2819" hidden="1" x14ac:dyDescent="0.25"/>
    <row r="2820" hidden="1" x14ac:dyDescent="0.25"/>
    <row r="2821" hidden="1" x14ac:dyDescent="0.25"/>
    <row r="2822" hidden="1" x14ac:dyDescent="0.25"/>
    <row r="2823" hidden="1" x14ac:dyDescent="0.25"/>
    <row r="2824" hidden="1" x14ac:dyDescent="0.25"/>
    <row r="2825" hidden="1" x14ac:dyDescent="0.25"/>
    <row r="2826" hidden="1" x14ac:dyDescent="0.25"/>
    <row r="2827" hidden="1" x14ac:dyDescent="0.25"/>
    <row r="2828" hidden="1" x14ac:dyDescent="0.25"/>
    <row r="2829" hidden="1" x14ac:dyDescent="0.25"/>
    <row r="2830" hidden="1" x14ac:dyDescent="0.25"/>
    <row r="2831" hidden="1" x14ac:dyDescent="0.25"/>
    <row r="2832" hidden="1" x14ac:dyDescent="0.25"/>
    <row r="2833" hidden="1" x14ac:dyDescent="0.25"/>
    <row r="2834" hidden="1" x14ac:dyDescent="0.25"/>
    <row r="2835" hidden="1" x14ac:dyDescent="0.25"/>
    <row r="2836" hidden="1" x14ac:dyDescent="0.25"/>
    <row r="2837" hidden="1" x14ac:dyDescent="0.25"/>
    <row r="2838" hidden="1" x14ac:dyDescent="0.25"/>
    <row r="2839" hidden="1" x14ac:dyDescent="0.25"/>
    <row r="2840" hidden="1" x14ac:dyDescent="0.25"/>
    <row r="2841" hidden="1" x14ac:dyDescent="0.25"/>
    <row r="2842" hidden="1" x14ac:dyDescent="0.25"/>
    <row r="2843" hidden="1" x14ac:dyDescent="0.25"/>
    <row r="2844" hidden="1" x14ac:dyDescent="0.25"/>
    <row r="2845" hidden="1" x14ac:dyDescent="0.25"/>
    <row r="2846" hidden="1" x14ac:dyDescent="0.25"/>
    <row r="2847" hidden="1" x14ac:dyDescent="0.25"/>
    <row r="2848" hidden="1" x14ac:dyDescent="0.25"/>
    <row r="2849" hidden="1" x14ac:dyDescent="0.25"/>
    <row r="2850" hidden="1" x14ac:dyDescent="0.25"/>
    <row r="2851" hidden="1" x14ac:dyDescent="0.25"/>
    <row r="2852" hidden="1" x14ac:dyDescent="0.25"/>
    <row r="2853" hidden="1" x14ac:dyDescent="0.25"/>
    <row r="2854" hidden="1" x14ac:dyDescent="0.25"/>
    <row r="2855" hidden="1" x14ac:dyDescent="0.25"/>
    <row r="2856" hidden="1" x14ac:dyDescent="0.25"/>
    <row r="2857" hidden="1" x14ac:dyDescent="0.25"/>
    <row r="2858" hidden="1" x14ac:dyDescent="0.25"/>
    <row r="2859" hidden="1" x14ac:dyDescent="0.25"/>
    <row r="2860" hidden="1" x14ac:dyDescent="0.25"/>
    <row r="2861" hidden="1" x14ac:dyDescent="0.25"/>
    <row r="2862" hidden="1" x14ac:dyDescent="0.25"/>
    <row r="2863" hidden="1" x14ac:dyDescent="0.25"/>
    <row r="2864" hidden="1" x14ac:dyDescent="0.25"/>
    <row r="2865" hidden="1" x14ac:dyDescent="0.25"/>
    <row r="2866" hidden="1" x14ac:dyDescent="0.25"/>
    <row r="2867" hidden="1" x14ac:dyDescent="0.25"/>
    <row r="2868" hidden="1" x14ac:dyDescent="0.25"/>
    <row r="2869" hidden="1" x14ac:dyDescent="0.25"/>
    <row r="2870" hidden="1" x14ac:dyDescent="0.25"/>
    <row r="2871" hidden="1" x14ac:dyDescent="0.25"/>
    <row r="2872" hidden="1" x14ac:dyDescent="0.25"/>
    <row r="2873" hidden="1" x14ac:dyDescent="0.25"/>
    <row r="2874" hidden="1" x14ac:dyDescent="0.25"/>
    <row r="2875" hidden="1" x14ac:dyDescent="0.25"/>
    <row r="2876" hidden="1" x14ac:dyDescent="0.25"/>
    <row r="2877" hidden="1" x14ac:dyDescent="0.25"/>
    <row r="2878" hidden="1" x14ac:dyDescent="0.25"/>
    <row r="2879" hidden="1" x14ac:dyDescent="0.25"/>
    <row r="2880" hidden="1" x14ac:dyDescent="0.25"/>
    <row r="2881" hidden="1" x14ac:dyDescent="0.25"/>
    <row r="2882" hidden="1" x14ac:dyDescent="0.25"/>
    <row r="2883" hidden="1" x14ac:dyDescent="0.25"/>
    <row r="2884" hidden="1" x14ac:dyDescent="0.25"/>
    <row r="2885" hidden="1" x14ac:dyDescent="0.25"/>
    <row r="2886" hidden="1" x14ac:dyDescent="0.25"/>
    <row r="2887" hidden="1" x14ac:dyDescent="0.25"/>
    <row r="2888" hidden="1" x14ac:dyDescent="0.25"/>
    <row r="2889" hidden="1" x14ac:dyDescent="0.25"/>
    <row r="2890" hidden="1" x14ac:dyDescent="0.25"/>
    <row r="2891" hidden="1" x14ac:dyDescent="0.25"/>
    <row r="2892" hidden="1" x14ac:dyDescent="0.25"/>
    <row r="2893" hidden="1" x14ac:dyDescent="0.25"/>
    <row r="2894" hidden="1" x14ac:dyDescent="0.25"/>
    <row r="2895" hidden="1" x14ac:dyDescent="0.25"/>
    <row r="2896" hidden="1" x14ac:dyDescent="0.25"/>
    <row r="2897" hidden="1" x14ac:dyDescent="0.25"/>
    <row r="2898" hidden="1" x14ac:dyDescent="0.25"/>
    <row r="2899" hidden="1" x14ac:dyDescent="0.25"/>
    <row r="2900" hidden="1" x14ac:dyDescent="0.25"/>
    <row r="2901" hidden="1" x14ac:dyDescent="0.25"/>
    <row r="2902" hidden="1" x14ac:dyDescent="0.25"/>
    <row r="2903" hidden="1" x14ac:dyDescent="0.25"/>
    <row r="2904" hidden="1" x14ac:dyDescent="0.25"/>
    <row r="2905" hidden="1" x14ac:dyDescent="0.25"/>
    <row r="2906" hidden="1" x14ac:dyDescent="0.25"/>
    <row r="2907" hidden="1" x14ac:dyDescent="0.25"/>
    <row r="2908" hidden="1" x14ac:dyDescent="0.25"/>
    <row r="2909" hidden="1" x14ac:dyDescent="0.25"/>
    <row r="2910" hidden="1" x14ac:dyDescent="0.25"/>
    <row r="2911" hidden="1" x14ac:dyDescent="0.25"/>
    <row r="2912" hidden="1" x14ac:dyDescent="0.25"/>
    <row r="2913" hidden="1" x14ac:dyDescent="0.25"/>
    <row r="2914" hidden="1" x14ac:dyDescent="0.25"/>
    <row r="2915" hidden="1" x14ac:dyDescent="0.25"/>
    <row r="2916" hidden="1" x14ac:dyDescent="0.25"/>
    <row r="2917" hidden="1" x14ac:dyDescent="0.25"/>
    <row r="2918" hidden="1" x14ac:dyDescent="0.25"/>
    <row r="2919" hidden="1" x14ac:dyDescent="0.25"/>
    <row r="2920" hidden="1" x14ac:dyDescent="0.25"/>
    <row r="2921" hidden="1" x14ac:dyDescent="0.25"/>
    <row r="2922" hidden="1" x14ac:dyDescent="0.25"/>
    <row r="2923" hidden="1" x14ac:dyDescent="0.25"/>
    <row r="2924" hidden="1" x14ac:dyDescent="0.25"/>
    <row r="2925" hidden="1" x14ac:dyDescent="0.25"/>
    <row r="2926" hidden="1" x14ac:dyDescent="0.25"/>
    <row r="2927" hidden="1" x14ac:dyDescent="0.25"/>
    <row r="2928" hidden="1" x14ac:dyDescent="0.25"/>
    <row r="2929" hidden="1" x14ac:dyDescent="0.25"/>
    <row r="2930" hidden="1" x14ac:dyDescent="0.25"/>
    <row r="2931" hidden="1" x14ac:dyDescent="0.25"/>
    <row r="2932" hidden="1" x14ac:dyDescent="0.25"/>
    <row r="2933" hidden="1" x14ac:dyDescent="0.25"/>
    <row r="2934" hidden="1" x14ac:dyDescent="0.25"/>
    <row r="2935" hidden="1" x14ac:dyDescent="0.25"/>
    <row r="2936" hidden="1" x14ac:dyDescent="0.25"/>
    <row r="2937" hidden="1" x14ac:dyDescent="0.25"/>
    <row r="2938" hidden="1" x14ac:dyDescent="0.25"/>
    <row r="2939" hidden="1" x14ac:dyDescent="0.25"/>
    <row r="2940" hidden="1" x14ac:dyDescent="0.25"/>
    <row r="2941" hidden="1" x14ac:dyDescent="0.25"/>
    <row r="2942" hidden="1" x14ac:dyDescent="0.25"/>
    <row r="2943" hidden="1" x14ac:dyDescent="0.25"/>
    <row r="2944" hidden="1" x14ac:dyDescent="0.25"/>
    <row r="2945" hidden="1" x14ac:dyDescent="0.25"/>
    <row r="2946" hidden="1" x14ac:dyDescent="0.25"/>
    <row r="2947" hidden="1" x14ac:dyDescent="0.25"/>
    <row r="2948" hidden="1" x14ac:dyDescent="0.25"/>
    <row r="2949" hidden="1" x14ac:dyDescent="0.25"/>
    <row r="2950" hidden="1" x14ac:dyDescent="0.25"/>
    <row r="2951" hidden="1" x14ac:dyDescent="0.25"/>
    <row r="2952" hidden="1" x14ac:dyDescent="0.25"/>
    <row r="2953" hidden="1" x14ac:dyDescent="0.25"/>
    <row r="2954" hidden="1" x14ac:dyDescent="0.25"/>
    <row r="2955" hidden="1" x14ac:dyDescent="0.25"/>
    <row r="2956" hidden="1" x14ac:dyDescent="0.25"/>
    <row r="2957" hidden="1" x14ac:dyDescent="0.25"/>
    <row r="2958" hidden="1" x14ac:dyDescent="0.25"/>
    <row r="2959" hidden="1" x14ac:dyDescent="0.25"/>
    <row r="2960" hidden="1" x14ac:dyDescent="0.25"/>
    <row r="2961" hidden="1" x14ac:dyDescent="0.25"/>
    <row r="2962" hidden="1" x14ac:dyDescent="0.25"/>
    <row r="2963" hidden="1" x14ac:dyDescent="0.25"/>
    <row r="2964" hidden="1" x14ac:dyDescent="0.25"/>
    <row r="2965" hidden="1" x14ac:dyDescent="0.25"/>
    <row r="2966" hidden="1" x14ac:dyDescent="0.25"/>
    <row r="2967" hidden="1" x14ac:dyDescent="0.25"/>
    <row r="2968" hidden="1" x14ac:dyDescent="0.25"/>
    <row r="2969" hidden="1" x14ac:dyDescent="0.25"/>
    <row r="2970" hidden="1" x14ac:dyDescent="0.25"/>
    <row r="2971" hidden="1" x14ac:dyDescent="0.25"/>
    <row r="2972" hidden="1" x14ac:dyDescent="0.25"/>
    <row r="2973" hidden="1" x14ac:dyDescent="0.25"/>
    <row r="2974" hidden="1" x14ac:dyDescent="0.25"/>
    <row r="2975" hidden="1" x14ac:dyDescent="0.25"/>
    <row r="2976" hidden="1" x14ac:dyDescent="0.25"/>
    <row r="2977" hidden="1" x14ac:dyDescent="0.25"/>
    <row r="2978" hidden="1" x14ac:dyDescent="0.25"/>
    <row r="2979" hidden="1" x14ac:dyDescent="0.25"/>
    <row r="2980" hidden="1" x14ac:dyDescent="0.25"/>
    <row r="2981" hidden="1" x14ac:dyDescent="0.25"/>
    <row r="2982" hidden="1" x14ac:dyDescent="0.25"/>
    <row r="2983" hidden="1" x14ac:dyDescent="0.25"/>
    <row r="2984" hidden="1" x14ac:dyDescent="0.25"/>
    <row r="2985" hidden="1" x14ac:dyDescent="0.25"/>
    <row r="2986" hidden="1" x14ac:dyDescent="0.25"/>
    <row r="2987" hidden="1" x14ac:dyDescent="0.25"/>
    <row r="2988" hidden="1" x14ac:dyDescent="0.25"/>
    <row r="2989" hidden="1" x14ac:dyDescent="0.25"/>
    <row r="2990" hidden="1" x14ac:dyDescent="0.25"/>
    <row r="2991" hidden="1" x14ac:dyDescent="0.25"/>
    <row r="2992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hidden="1" x14ac:dyDescent="0.25"/>
    <row r="3154" hidden="1" x14ac:dyDescent="0.25"/>
    <row r="3155" hidden="1" x14ac:dyDescent="0.25"/>
    <row r="3156" hidden="1" x14ac:dyDescent="0.25"/>
    <row r="3157" hidden="1" x14ac:dyDescent="0.25"/>
    <row r="3158" hidden="1" x14ac:dyDescent="0.25"/>
    <row r="3159" hidden="1" x14ac:dyDescent="0.25"/>
    <row r="3160" hidden="1" x14ac:dyDescent="0.25"/>
    <row r="3161" hidden="1" x14ac:dyDescent="0.25"/>
    <row r="3162" hidden="1" x14ac:dyDescent="0.25"/>
    <row r="3163" hidden="1" x14ac:dyDescent="0.25"/>
    <row r="3164" hidden="1" x14ac:dyDescent="0.25"/>
    <row r="3165" hidden="1" x14ac:dyDescent="0.25"/>
    <row r="3166" hidden="1" x14ac:dyDescent="0.25"/>
    <row r="3167" hidden="1" x14ac:dyDescent="0.25"/>
    <row r="3168" hidden="1" x14ac:dyDescent="0.25"/>
    <row r="3169" hidden="1" x14ac:dyDescent="0.25"/>
    <row r="3170" hidden="1" x14ac:dyDescent="0.25"/>
    <row r="3171" hidden="1" x14ac:dyDescent="0.25"/>
    <row r="3172" hidden="1" x14ac:dyDescent="0.25"/>
    <row r="3173" hidden="1" x14ac:dyDescent="0.25"/>
    <row r="3174" hidden="1" x14ac:dyDescent="0.25"/>
    <row r="3175" hidden="1" x14ac:dyDescent="0.25"/>
    <row r="3176" hidden="1" x14ac:dyDescent="0.25"/>
    <row r="3177" hidden="1" x14ac:dyDescent="0.25"/>
    <row r="3178" hidden="1" x14ac:dyDescent="0.25"/>
    <row r="3179" hidden="1" x14ac:dyDescent="0.25"/>
    <row r="3180" hidden="1" x14ac:dyDescent="0.25"/>
    <row r="3181" hidden="1" x14ac:dyDescent="0.25"/>
    <row r="3182" hidden="1" x14ac:dyDescent="0.25"/>
    <row r="3183" hidden="1" x14ac:dyDescent="0.25"/>
    <row r="3184" hidden="1" x14ac:dyDescent="0.25"/>
    <row r="3185" hidden="1" x14ac:dyDescent="0.25"/>
    <row r="3186" hidden="1" x14ac:dyDescent="0.25"/>
    <row r="3187" hidden="1" x14ac:dyDescent="0.25"/>
    <row r="3188" hidden="1" x14ac:dyDescent="0.25"/>
    <row r="3189" hidden="1" x14ac:dyDescent="0.25"/>
    <row r="3190" hidden="1" x14ac:dyDescent="0.25"/>
    <row r="3191" hidden="1" x14ac:dyDescent="0.25"/>
    <row r="3192" hidden="1" x14ac:dyDescent="0.25"/>
    <row r="3193" hidden="1" x14ac:dyDescent="0.25"/>
    <row r="3194" hidden="1" x14ac:dyDescent="0.25"/>
    <row r="3195" hidden="1" x14ac:dyDescent="0.25"/>
    <row r="3196" hidden="1" x14ac:dyDescent="0.25"/>
    <row r="3197" hidden="1" x14ac:dyDescent="0.25"/>
    <row r="3198" hidden="1" x14ac:dyDescent="0.25"/>
    <row r="3199" hidden="1" x14ac:dyDescent="0.25"/>
    <row r="3200" hidden="1" x14ac:dyDescent="0.25"/>
    <row r="3201" hidden="1" x14ac:dyDescent="0.25"/>
    <row r="3202" hidden="1" x14ac:dyDescent="0.25"/>
    <row r="3203" hidden="1" x14ac:dyDescent="0.25"/>
    <row r="3204" hidden="1" x14ac:dyDescent="0.25"/>
    <row r="3205" hidden="1" x14ac:dyDescent="0.25"/>
    <row r="3206" hidden="1" x14ac:dyDescent="0.25"/>
    <row r="3207" hidden="1" x14ac:dyDescent="0.25"/>
    <row r="3208" hidden="1" x14ac:dyDescent="0.25"/>
    <row r="3209" hidden="1" x14ac:dyDescent="0.25"/>
    <row r="3210" hidden="1" x14ac:dyDescent="0.25"/>
    <row r="3211" hidden="1" x14ac:dyDescent="0.25"/>
    <row r="3212" hidden="1" x14ac:dyDescent="0.25"/>
    <row r="3213" hidden="1" x14ac:dyDescent="0.25"/>
    <row r="3214" hidden="1" x14ac:dyDescent="0.25"/>
    <row r="3215" hidden="1" x14ac:dyDescent="0.25"/>
    <row r="3216" hidden="1" x14ac:dyDescent="0.25"/>
    <row r="3217" hidden="1" x14ac:dyDescent="0.25"/>
    <row r="3218" hidden="1" x14ac:dyDescent="0.25"/>
    <row r="3219" hidden="1" x14ac:dyDescent="0.25"/>
    <row r="3220" hidden="1" x14ac:dyDescent="0.25"/>
    <row r="3221" hidden="1" x14ac:dyDescent="0.25"/>
    <row r="3222" hidden="1" x14ac:dyDescent="0.25"/>
    <row r="3223" hidden="1" x14ac:dyDescent="0.25"/>
    <row r="3224" hidden="1" x14ac:dyDescent="0.25"/>
    <row r="3225" hidden="1" x14ac:dyDescent="0.25"/>
    <row r="3226" hidden="1" x14ac:dyDescent="0.25"/>
    <row r="3227" hidden="1" x14ac:dyDescent="0.25"/>
    <row r="3228" hidden="1" x14ac:dyDescent="0.25"/>
    <row r="3229" hidden="1" x14ac:dyDescent="0.25"/>
    <row r="3230" hidden="1" x14ac:dyDescent="0.25"/>
    <row r="3231" hidden="1" x14ac:dyDescent="0.25"/>
    <row r="3232" hidden="1" x14ac:dyDescent="0.25"/>
    <row r="3233" hidden="1" x14ac:dyDescent="0.25"/>
    <row r="3234" hidden="1" x14ac:dyDescent="0.25"/>
    <row r="3235" hidden="1" x14ac:dyDescent="0.25"/>
    <row r="3236" hidden="1" x14ac:dyDescent="0.25"/>
    <row r="3237" hidden="1" x14ac:dyDescent="0.25"/>
    <row r="3238" hidden="1" x14ac:dyDescent="0.25"/>
    <row r="3239" hidden="1" x14ac:dyDescent="0.25"/>
    <row r="3240" hidden="1" x14ac:dyDescent="0.25"/>
    <row r="3241" hidden="1" x14ac:dyDescent="0.25"/>
    <row r="3242" hidden="1" x14ac:dyDescent="0.25"/>
    <row r="3243" hidden="1" x14ac:dyDescent="0.25"/>
    <row r="3244" hidden="1" x14ac:dyDescent="0.25"/>
    <row r="3245" hidden="1" x14ac:dyDescent="0.25"/>
    <row r="3246" hidden="1" x14ac:dyDescent="0.25"/>
    <row r="3247" hidden="1" x14ac:dyDescent="0.25"/>
    <row r="3248" hidden="1" x14ac:dyDescent="0.25"/>
    <row r="3249" hidden="1" x14ac:dyDescent="0.25"/>
    <row r="3250" hidden="1" x14ac:dyDescent="0.25"/>
    <row r="3251" hidden="1" x14ac:dyDescent="0.25"/>
    <row r="3252" hidden="1" x14ac:dyDescent="0.25"/>
    <row r="3253" hidden="1" x14ac:dyDescent="0.25"/>
    <row r="3254" hidden="1" x14ac:dyDescent="0.25"/>
    <row r="3255" hidden="1" x14ac:dyDescent="0.25"/>
    <row r="3256" hidden="1" x14ac:dyDescent="0.25"/>
    <row r="3257" hidden="1" x14ac:dyDescent="0.25"/>
    <row r="3258" hidden="1" x14ac:dyDescent="0.25"/>
    <row r="3259" hidden="1" x14ac:dyDescent="0.25"/>
    <row r="3260" hidden="1" x14ac:dyDescent="0.25"/>
    <row r="3261" hidden="1" x14ac:dyDescent="0.25"/>
    <row r="3262" hidden="1" x14ac:dyDescent="0.25"/>
    <row r="3263" hidden="1" x14ac:dyDescent="0.25"/>
    <row r="3264" hidden="1" x14ac:dyDescent="0.25"/>
    <row r="3265" hidden="1" x14ac:dyDescent="0.25"/>
    <row r="3266" hidden="1" x14ac:dyDescent="0.25"/>
    <row r="3267" hidden="1" x14ac:dyDescent="0.25"/>
    <row r="3268" hidden="1" x14ac:dyDescent="0.25"/>
    <row r="3269" hidden="1" x14ac:dyDescent="0.25"/>
    <row r="3270" hidden="1" x14ac:dyDescent="0.25"/>
    <row r="3271" hidden="1" x14ac:dyDescent="0.25"/>
    <row r="3272" hidden="1" x14ac:dyDescent="0.25"/>
    <row r="3273" hidden="1" x14ac:dyDescent="0.25"/>
    <row r="3274" hidden="1" x14ac:dyDescent="0.25"/>
    <row r="3275" hidden="1" x14ac:dyDescent="0.25"/>
    <row r="3276" hidden="1" x14ac:dyDescent="0.25"/>
    <row r="3277" hidden="1" x14ac:dyDescent="0.25"/>
    <row r="3278" hidden="1" x14ac:dyDescent="0.25"/>
    <row r="3279" hidden="1" x14ac:dyDescent="0.25"/>
    <row r="3280" hidden="1" x14ac:dyDescent="0.25"/>
    <row r="3281" hidden="1" x14ac:dyDescent="0.25"/>
    <row r="3282" hidden="1" x14ac:dyDescent="0.25"/>
    <row r="3283" hidden="1" x14ac:dyDescent="0.25"/>
    <row r="3284" hidden="1" x14ac:dyDescent="0.25"/>
    <row r="3285" hidden="1" x14ac:dyDescent="0.25"/>
    <row r="3286" hidden="1" x14ac:dyDescent="0.25"/>
    <row r="3287" hidden="1" x14ac:dyDescent="0.25"/>
    <row r="3288" hidden="1" x14ac:dyDescent="0.25"/>
    <row r="3289" hidden="1" x14ac:dyDescent="0.25"/>
    <row r="3290" hidden="1" x14ac:dyDescent="0.25"/>
    <row r="3291" hidden="1" x14ac:dyDescent="0.25"/>
    <row r="3292" hidden="1" x14ac:dyDescent="0.25"/>
    <row r="3293" hidden="1" x14ac:dyDescent="0.25"/>
    <row r="3294" hidden="1" x14ac:dyDescent="0.25"/>
    <row r="3295" hidden="1" x14ac:dyDescent="0.25"/>
    <row r="3296" hidden="1" x14ac:dyDescent="0.25"/>
    <row r="3297" hidden="1" x14ac:dyDescent="0.25"/>
    <row r="3298" hidden="1" x14ac:dyDescent="0.25"/>
    <row r="3299" hidden="1" x14ac:dyDescent="0.25"/>
    <row r="3300" hidden="1" x14ac:dyDescent="0.25"/>
    <row r="3301" hidden="1" x14ac:dyDescent="0.25"/>
    <row r="3302" hidden="1" x14ac:dyDescent="0.25"/>
    <row r="3303" hidden="1" x14ac:dyDescent="0.25"/>
    <row r="3304" hidden="1" x14ac:dyDescent="0.25"/>
    <row r="3305" hidden="1" x14ac:dyDescent="0.25"/>
    <row r="3306" hidden="1" x14ac:dyDescent="0.25"/>
    <row r="3307" hidden="1" x14ac:dyDescent="0.25"/>
    <row r="3308" hidden="1" x14ac:dyDescent="0.25"/>
    <row r="3309" hidden="1" x14ac:dyDescent="0.25"/>
    <row r="3310" hidden="1" x14ac:dyDescent="0.25"/>
    <row r="3311" hidden="1" x14ac:dyDescent="0.25"/>
    <row r="3312" hidden="1" x14ac:dyDescent="0.25"/>
    <row r="3313" hidden="1" x14ac:dyDescent="0.25"/>
    <row r="3314" hidden="1" x14ac:dyDescent="0.25"/>
    <row r="3315" hidden="1" x14ac:dyDescent="0.25"/>
    <row r="3316" hidden="1" x14ac:dyDescent="0.25"/>
    <row r="3317" hidden="1" x14ac:dyDescent="0.25"/>
    <row r="3318" hidden="1" x14ac:dyDescent="0.25"/>
    <row r="3319" hidden="1" x14ac:dyDescent="0.25"/>
    <row r="3320" hidden="1" x14ac:dyDescent="0.25"/>
    <row r="3321" hidden="1" x14ac:dyDescent="0.25"/>
    <row r="3322" hidden="1" x14ac:dyDescent="0.25"/>
    <row r="3323" hidden="1" x14ac:dyDescent="0.25"/>
    <row r="3324" hidden="1" x14ac:dyDescent="0.25"/>
    <row r="3325" hidden="1" x14ac:dyDescent="0.25"/>
    <row r="3326" hidden="1" x14ac:dyDescent="0.25"/>
    <row r="3327" hidden="1" x14ac:dyDescent="0.25"/>
    <row r="3328" hidden="1" x14ac:dyDescent="0.25"/>
    <row r="3329" hidden="1" x14ac:dyDescent="0.25"/>
    <row r="3330" hidden="1" x14ac:dyDescent="0.25"/>
    <row r="3331" hidden="1" x14ac:dyDescent="0.25"/>
    <row r="3332" hidden="1" x14ac:dyDescent="0.25"/>
    <row r="3333" hidden="1" x14ac:dyDescent="0.25"/>
    <row r="3334" hidden="1" x14ac:dyDescent="0.25"/>
    <row r="3335" hidden="1" x14ac:dyDescent="0.25"/>
    <row r="3336" hidden="1" x14ac:dyDescent="0.25"/>
    <row r="3337" hidden="1" x14ac:dyDescent="0.25"/>
    <row r="3338" hidden="1" x14ac:dyDescent="0.25"/>
    <row r="3339" hidden="1" x14ac:dyDescent="0.25"/>
    <row r="3340" hidden="1" x14ac:dyDescent="0.25"/>
    <row r="3341" hidden="1" x14ac:dyDescent="0.25"/>
    <row r="3342" hidden="1" x14ac:dyDescent="0.25"/>
    <row r="3343" hidden="1" x14ac:dyDescent="0.25"/>
    <row r="3344" hidden="1" x14ac:dyDescent="0.25"/>
    <row r="3345" hidden="1" x14ac:dyDescent="0.25"/>
    <row r="3346" hidden="1" x14ac:dyDescent="0.25"/>
    <row r="3347" hidden="1" x14ac:dyDescent="0.25"/>
    <row r="3348" hidden="1" x14ac:dyDescent="0.25"/>
    <row r="3349" hidden="1" x14ac:dyDescent="0.25"/>
    <row r="3350" hidden="1" x14ac:dyDescent="0.25"/>
    <row r="3351" hidden="1" x14ac:dyDescent="0.25"/>
    <row r="3352" hidden="1" x14ac:dyDescent="0.25"/>
    <row r="3353" hidden="1" x14ac:dyDescent="0.25"/>
    <row r="3354" hidden="1" x14ac:dyDescent="0.25"/>
    <row r="3355" hidden="1" x14ac:dyDescent="0.25"/>
    <row r="3356" hidden="1" x14ac:dyDescent="0.25"/>
    <row r="3357" hidden="1" x14ac:dyDescent="0.25"/>
    <row r="3358" hidden="1" x14ac:dyDescent="0.25"/>
    <row r="3359" hidden="1" x14ac:dyDescent="0.25"/>
    <row r="3360" hidden="1" x14ac:dyDescent="0.25"/>
    <row r="3361" hidden="1" x14ac:dyDescent="0.25"/>
    <row r="3362" hidden="1" x14ac:dyDescent="0.25"/>
    <row r="3363" hidden="1" x14ac:dyDescent="0.25"/>
    <row r="3364" hidden="1" x14ac:dyDescent="0.25"/>
    <row r="3365" hidden="1" x14ac:dyDescent="0.25"/>
    <row r="3366" hidden="1" x14ac:dyDescent="0.25"/>
    <row r="3367" hidden="1" x14ac:dyDescent="0.25"/>
    <row r="3368" hidden="1" x14ac:dyDescent="0.25"/>
    <row r="3369" hidden="1" x14ac:dyDescent="0.25"/>
    <row r="3370" hidden="1" x14ac:dyDescent="0.25"/>
    <row r="3371" hidden="1" x14ac:dyDescent="0.25"/>
    <row r="3372" hidden="1" x14ac:dyDescent="0.25"/>
    <row r="3373" hidden="1" x14ac:dyDescent="0.25"/>
    <row r="3374" hidden="1" x14ac:dyDescent="0.25"/>
    <row r="3375" hidden="1" x14ac:dyDescent="0.25"/>
    <row r="3376" hidden="1" x14ac:dyDescent="0.25"/>
    <row r="3377" hidden="1" x14ac:dyDescent="0.25"/>
    <row r="3378" hidden="1" x14ac:dyDescent="0.25"/>
    <row r="3379" hidden="1" x14ac:dyDescent="0.25"/>
    <row r="3380" hidden="1" x14ac:dyDescent="0.25"/>
    <row r="3381" hidden="1" x14ac:dyDescent="0.25"/>
    <row r="3382" hidden="1" x14ac:dyDescent="0.25"/>
    <row r="3383" hidden="1" x14ac:dyDescent="0.25"/>
    <row r="3384" hidden="1" x14ac:dyDescent="0.25"/>
    <row r="3385" hidden="1" x14ac:dyDescent="0.25"/>
    <row r="3386" hidden="1" x14ac:dyDescent="0.25"/>
    <row r="3387" hidden="1" x14ac:dyDescent="0.25"/>
    <row r="3388" hidden="1" x14ac:dyDescent="0.25"/>
    <row r="3389" hidden="1" x14ac:dyDescent="0.25"/>
    <row r="3390" hidden="1" x14ac:dyDescent="0.25"/>
    <row r="3391" hidden="1" x14ac:dyDescent="0.25"/>
    <row r="3392" hidden="1" x14ac:dyDescent="0.25"/>
    <row r="3393" hidden="1" x14ac:dyDescent="0.25"/>
    <row r="3394" hidden="1" x14ac:dyDescent="0.25"/>
    <row r="3395" hidden="1" x14ac:dyDescent="0.25"/>
    <row r="3396" hidden="1" x14ac:dyDescent="0.25"/>
    <row r="3397" hidden="1" x14ac:dyDescent="0.25"/>
    <row r="3398" hidden="1" x14ac:dyDescent="0.25"/>
    <row r="3399" hidden="1" x14ac:dyDescent="0.25"/>
    <row r="3400" hidden="1" x14ac:dyDescent="0.25"/>
    <row r="3401" hidden="1" x14ac:dyDescent="0.25"/>
    <row r="3402" hidden="1" x14ac:dyDescent="0.25"/>
    <row r="3403" hidden="1" x14ac:dyDescent="0.25"/>
    <row r="3404" hidden="1" x14ac:dyDescent="0.25"/>
    <row r="3405" hidden="1" x14ac:dyDescent="0.25"/>
    <row r="3406" hidden="1" x14ac:dyDescent="0.25"/>
    <row r="3407" hidden="1" x14ac:dyDescent="0.25"/>
    <row r="3408" hidden="1" x14ac:dyDescent="0.25"/>
    <row r="3409" hidden="1" x14ac:dyDescent="0.25"/>
    <row r="3410" hidden="1" x14ac:dyDescent="0.25"/>
    <row r="3411" hidden="1" x14ac:dyDescent="0.25"/>
    <row r="3412" hidden="1" x14ac:dyDescent="0.25"/>
    <row r="3413" hidden="1" x14ac:dyDescent="0.25"/>
    <row r="3414" hidden="1" x14ac:dyDescent="0.25"/>
    <row r="3415" hidden="1" x14ac:dyDescent="0.25"/>
    <row r="3416" hidden="1" x14ac:dyDescent="0.25"/>
    <row r="3417" hidden="1" x14ac:dyDescent="0.25"/>
    <row r="3418" hidden="1" x14ac:dyDescent="0.25"/>
    <row r="3419" hidden="1" x14ac:dyDescent="0.25"/>
    <row r="3420" hidden="1" x14ac:dyDescent="0.25"/>
    <row r="3421" hidden="1" x14ac:dyDescent="0.25"/>
    <row r="3422" hidden="1" x14ac:dyDescent="0.25"/>
    <row r="3423" hidden="1" x14ac:dyDescent="0.25"/>
    <row r="3424" hidden="1" x14ac:dyDescent="0.25"/>
    <row r="3425" hidden="1" x14ac:dyDescent="0.25"/>
    <row r="3426" hidden="1" x14ac:dyDescent="0.25"/>
    <row r="3427" hidden="1" x14ac:dyDescent="0.25"/>
    <row r="3428" hidden="1" x14ac:dyDescent="0.25"/>
    <row r="3429" hidden="1" x14ac:dyDescent="0.25"/>
    <row r="3430" hidden="1" x14ac:dyDescent="0.25"/>
    <row r="3431" hidden="1" x14ac:dyDescent="0.25"/>
    <row r="3432" hidden="1" x14ac:dyDescent="0.25"/>
    <row r="3433" hidden="1" x14ac:dyDescent="0.25"/>
    <row r="3434" hidden="1" x14ac:dyDescent="0.25"/>
    <row r="3435" hidden="1" x14ac:dyDescent="0.25"/>
    <row r="3436" hidden="1" x14ac:dyDescent="0.25"/>
    <row r="3437" hidden="1" x14ac:dyDescent="0.25"/>
    <row r="3438" hidden="1" x14ac:dyDescent="0.25"/>
    <row r="3439" hidden="1" x14ac:dyDescent="0.25"/>
    <row r="3440" hidden="1" x14ac:dyDescent="0.25"/>
    <row r="3441" hidden="1" x14ac:dyDescent="0.25"/>
    <row r="3442" hidden="1" x14ac:dyDescent="0.25"/>
    <row r="3443" hidden="1" x14ac:dyDescent="0.25"/>
    <row r="3444" hidden="1" x14ac:dyDescent="0.25"/>
    <row r="3445" hidden="1" x14ac:dyDescent="0.25"/>
    <row r="3446" hidden="1" x14ac:dyDescent="0.25"/>
    <row r="3447" hidden="1" x14ac:dyDescent="0.25"/>
    <row r="3448" hidden="1" x14ac:dyDescent="0.25"/>
    <row r="3449" hidden="1" x14ac:dyDescent="0.25"/>
    <row r="3450" hidden="1" x14ac:dyDescent="0.25"/>
    <row r="3451" hidden="1" x14ac:dyDescent="0.25"/>
    <row r="3452" hidden="1" x14ac:dyDescent="0.25"/>
    <row r="3453" hidden="1" x14ac:dyDescent="0.25"/>
    <row r="3454" hidden="1" x14ac:dyDescent="0.25"/>
    <row r="3455" hidden="1" x14ac:dyDescent="0.25"/>
    <row r="3456" hidden="1" x14ac:dyDescent="0.25"/>
    <row r="3457" hidden="1" x14ac:dyDescent="0.25"/>
    <row r="3458" hidden="1" x14ac:dyDescent="0.25"/>
    <row r="3459" hidden="1" x14ac:dyDescent="0.25"/>
    <row r="3460" hidden="1" x14ac:dyDescent="0.25"/>
    <row r="3461" hidden="1" x14ac:dyDescent="0.25"/>
    <row r="3462" hidden="1" x14ac:dyDescent="0.25"/>
    <row r="3463" hidden="1" x14ac:dyDescent="0.25"/>
    <row r="3464" hidden="1" x14ac:dyDescent="0.25"/>
    <row r="3465" hidden="1" x14ac:dyDescent="0.25"/>
    <row r="3466" hidden="1" x14ac:dyDescent="0.25"/>
    <row r="3467" hidden="1" x14ac:dyDescent="0.25"/>
    <row r="3468" hidden="1" x14ac:dyDescent="0.25"/>
    <row r="3469" hidden="1" x14ac:dyDescent="0.25"/>
    <row r="3470" hidden="1" x14ac:dyDescent="0.25"/>
    <row r="3471" hidden="1" x14ac:dyDescent="0.25"/>
    <row r="3472" hidden="1" x14ac:dyDescent="0.25"/>
    <row r="3473" hidden="1" x14ac:dyDescent="0.25"/>
    <row r="3474" hidden="1" x14ac:dyDescent="0.25"/>
    <row r="3475" hidden="1" x14ac:dyDescent="0.25"/>
    <row r="3476" hidden="1" x14ac:dyDescent="0.25"/>
    <row r="3477" hidden="1" x14ac:dyDescent="0.25"/>
    <row r="3478" hidden="1" x14ac:dyDescent="0.25"/>
    <row r="3479" hidden="1" x14ac:dyDescent="0.25"/>
    <row r="3480" hidden="1" x14ac:dyDescent="0.25"/>
    <row r="3481" hidden="1" x14ac:dyDescent="0.25"/>
    <row r="3482" hidden="1" x14ac:dyDescent="0.25"/>
    <row r="3483" hidden="1" x14ac:dyDescent="0.25"/>
    <row r="3484" hidden="1" x14ac:dyDescent="0.25"/>
    <row r="3485" hidden="1" x14ac:dyDescent="0.25"/>
    <row r="3486" hidden="1" x14ac:dyDescent="0.25"/>
    <row r="3487" hidden="1" x14ac:dyDescent="0.25"/>
    <row r="3488" hidden="1" x14ac:dyDescent="0.25"/>
    <row r="3489" hidden="1" x14ac:dyDescent="0.25"/>
    <row r="3490" hidden="1" x14ac:dyDescent="0.25"/>
    <row r="3491" hidden="1" x14ac:dyDescent="0.25"/>
    <row r="3492" hidden="1" x14ac:dyDescent="0.25"/>
    <row r="3493" hidden="1" x14ac:dyDescent="0.25"/>
    <row r="3494" hidden="1" x14ac:dyDescent="0.25"/>
    <row r="3495" hidden="1" x14ac:dyDescent="0.25"/>
    <row r="3496" hidden="1" x14ac:dyDescent="0.25"/>
    <row r="3497" hidden="1" x14ac:dyDescent="0.25"/>
    <row r="3498" hidden="1" x14ac:dyDescent="0.25"/>
    <row r="3499" hidden="1" x14ac:dyDescent="0.25"/>
    <row r="3500" hidden="1" x14ac:dyDescent="0.25"/>
    <row r="3501" hidden="1" x14ac:dyDescent="0.25"/>
    <row r="3502" hidden="1" x14ac:dyDescent="0.25"/>
    <row r="3503" hidden="1" x14ac:dyDescent="0.25"/>
    <row r="3504" hidden="1" x14ac:dyDescent="0.25"/>
    <row r="3505" hidden="1" x14ac:dyDescent="0.25"/>
    <row r="3506" hidden="1" x14ac:dyDescent="0.25"/>
    <row r="3507" hidden="1" x14ac:dyDescent="0.25"/>
    <row r="3508" hidden="1" x14ac:dyDescent="0.25"/>
    <row r="3509" hidden="1" x14ac:dyDescent="0.25"/>
    <row r="3510" hidden="1" x14ac:dyDescent="0.25"/>
    <row r="3511" hidden="1" x14ac:dyDescent="0.25"/>
    <row r="3512" hidden="1" x14ac:dyDescent="0.25"/>
    <row r="3513" hidden="1" x14ac:dyDescent="0.25"/>
    <row r="3514" hidden="1" x14ac:dyDescent="0.25"/>
    <row r="3515" hidden="1" x14ac:dyDescent="0.25"/>
    <row r="3516" hidden="1" x14ac:dyDescent="0.25"/>
    <row r="3517" hidden="1" x14ac:dyDescent="0.25"/>
    <row r="3518" hidden="1" x14ac:dyDescent="0.25"/>
    <row r="3519" hidden="1" x14ac:dyDescent="0.25"/>
    <row r="3520" hidden="1" x14ac:dyDescent="0.25"/>
    <row r="3521" hidden="1" x14ac:dyDescent="0.25"/>
    <row r="3522" hidden="1" x14ac:dyDescent="0.25"/>
    <row r="3523" hidden="1" x14ac:dyDescent="0.25"/>
    <row r="3524" hidden="1" x14ac:dyDescent="0.25"/>
    <row r="3525" hidden="1" x14ac:dyDescent="0.25"/>
    <row r="3526" hidden="1" x14ac:dyDescent="0.25"/>
    <row r="3527" hidden="1" x14ac:dyDescent="0.25"/>
    <row r="3528" hidden="1" x14ac:dyDescent="0.25"/>
    <row r="3529" hidden="1" x14ac:dyDescent="0.25"/>
    <row r="3530" hidden="1" x14ac:dyDescent="0.25"/>
    <row r="3531" hidden="1" x14ac:dyDescent="0.25"/>
    <row r="3532" hidden="1" x14ac:dyDescent="0.25"/>
    <row r="3533" hidden="1" x14ac:dyDescent="0.25"/>
    <row r="3534" hidden="1" x14ac:dyDescent="0.25"/>
    <row r="3535" hidden="1" x14ac:dyDescent="0.25"/>
    <row r="3536" hidden="1" x14ac:dyDescent="0.25"/>
    <row r="3537" hidden="1" x14ac:dyDescent="0.25"/>
    <row r="3538" hidden="1" x14ac:dyDescent="0.25"/>
    <row r="3539" hidden="1" x14ac:dyDescent="0.25"/>
    <row r="3540" hidden="1" x14ac:dyDescent="0.25"/>
    <row r="3541" hidden="1" x14ac:dyDescent="0.25"/>
    <row r="3542" hidden="1" x14ac:dyDescent="0.25"/>
    <row r="3543" hidden="1" x14ac:dyDescent="0.25"/>
    <row r="3544" hidden="1" x14ac:dyDescent="0.25"/>
    <row r="3545" hidden="1" x14ac:dyDescent="0.25"/>
    <row r="3546" hidden="1" x14ac:dyDescent="0.25"/>
    <row r="3547" hidden="1" x14ac:dyDescent="0.25"/>
    <row r="3548" hidden="1" x14ac:dyDescent="0.25"/>
    <row r="3549" hidden="1" x14ac:dyDescent="0.25"/>
    <row r="3550" hidden="1" x14ac:dyDescent="0.25"/>
    <row r="3551" hidden="1" x14ac:dyDescent="0.25"/>
    <row r="3552" hidden="1" x14ac:dyDescent="0.25"/>
    <row r="3553" hidden="1" x14ac:dyDescent="0.25"/>
    <row r="3554" hidden="1" x14ac:dyDescent="0.25"/>
    <row r="3555" hidden="1" x14ac:dyDescent="0.25"/>
    <row r="3556" hidden="1" x14ac:dyDescent="0.25"/>
    <row r="3557" hidden="1" x14ac:dyDescent="0.25"/>
    <row r="3558" hidden="1" x14ac:dyDescent="0.25"/>
    <row r="3559" hidden="1" x14ac:dyDescent="0.25"/>
    <row r="3560" hidden="1" x14ac:dyDescent="0.25"/>
    <row r="3561" hidden="1" x14ac:dyDescent="0.25"/>
    <row r="3562" hidden="1" x14ac:dyDescent="0.25"/>
    <row r="3563" hidden="1" x14ac:dyDescent="0.25"/>
    <row r="3564" hidden="1" x14ac:dyDescent="0.25"/>
    <row r="3565" hidden="1" x14ac:dyDescent="0.25"/>
    <row r="3566" hidden="1" x14ac:dyDescent="0.25"/>
    <row r="3567" hidden="1" x14ac:dyDescent="0.25"/>
    <row r="3568" hidden="1" x14ac:dyDescent="0.25"/>
    <row r="3569" hidden="1" x14ac:dyDescent="0.25"/>
    <row r="3570" hidden="1" x14ac:dyDescent="0.25"/>
    <row r="3571" hidden="1" x14ac:dyDescent="0.25"/>
    <row r="3572" hidden="1" x14ac:dyDescent="0.25"/>
    <row r="3573" hidden="1" x14ac:dyDescent="0.25"/>
    <row r="3574" hidden="1" x14ac:dyDescent="0.25"/>
    <row r="3575" hidden="1" x14ac:dyDescent="0.25"/>
    <row r="3576" hidden="1" x14ac:dyDescent="0.25"/>
    <row r="3577" hidden="1" x14ac:dyDescent="0.25"/>
    <row r="3578" hidden="1" x14ac:dyDescent="0.25"/>
    <row r="3579" hidden="1" x14ac:dyDescent="0.25"/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Process_Set</vt:lpstr>
      <vt:lpstr>Helper_Set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Beneharo Reveron Baecker</dc:creator>
  <dc:description/>
  <cp:lastModifiedBy>Beneharo Reveron Baecker</cp:lastModifiedBy>
  <cp:revision>10</cp:revision>
  <dcterms:created xsi:type="dcterms:W3CDTF">2024-10-24T14:36:59Z</dcterms:created>
  <dcterms:modified xsi:type="dcterms:W3CDTF">2024-10-30T16:20:47Z</dcterms:modified>
  <dc:language>de-DE</dc:language>
</cp:coreProperties>
</file>